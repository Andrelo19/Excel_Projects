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262d3415c3d1e2/Documentos/"/>
    </mc:Choice>
  </mc:AlternateContent>
  <xr:revisionPtr revIDLastSave="23" documentId="8_{B1D23CBB-2767-4F34-95EE-99E9C52D2CA3}" xr6:coauthVersionLast="47" xr6:coauthVersionMax="47" xr10:uidLastSave="{0F8DA830-AC2D-4150-B5C8-3B918EDC9426}"/>
  <bookViews>
    <workbookView xWindow="-108" yWindow="-108" windowWidth="23256" windowHeight="12456" firstSheet="1" activeTab="1" xr2:uid="{C0C584B4-6E61-4034-8E08-F02189B2DDB9}"/>
  </bookViews>
  <sheets>
    <sheet name="Dashboard" sheetId="1" r:id="rId1"/>
    <sheet name="Registro Diario" sheetId="2" r:id="rId2"/>
    <sheet name="Menu Productos" sheetId="3" r:id="rId3"/>
    <sheet name="Metas y Control" sheetId="4" r:id="rId4"/>
    <sheet name="Chart Data" sheetId="5" state="hidden" r:id="rId5"/>
    <sheet name="Guía y Report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6" l="1"/>
  <c r="C6" i="6"/>
  <c r="A6" i="6"/>
  <c r="A2" i="5"/>
  <c r="A3" i="5"/>
  <c r="A4" i="5"/>
  <c r="A5" i="5"/>
  <c r="A6" i="5"/>
  <c r="A7" i="5"/>
  <c r="A8" i="5"/>
  <c r="A9" i="5"/>
  <c r="A10" i="5"/>
  <c r="A11" i="5"/>
  <c r="A12" i="5"/>
  <c r="A13" i="5"/>
  <c r="M46" i="1"/>
  <c r="M45" i="1"/>
  <c r="M44" i="1"/>
  <c r="F44" i="1"/>
  <c r="F45" i="1" s="1"/>
  <c r="F46" i="1"/>
  <c r="B45" i="1"/>
  <c r="B46" i="1"/>
  <c r="B47" i="1"/>
  <c r="G38" i="1"/>
  <c r="G37" i="1"/>
  <c r="G36" i="1"/>
  <c r="G35" i="1"/>
  <c r="G34" i="1"/>
  <c r="G33" i="1"/>
  <c r="G32" i="1"/>
  <c r="G31" i="1"/>
  <c r="F31" i="1"/>
  <c r="F32" i="1"/>
  <c r="F33" i="1"/>
  <c r="F34" i="1"/>
  <c r="F35" i="1"/>
  <c r="F37" i="1"/>
  <c r="F38" i="1"/>
  <c r="F23" i="4"/>
  <c r="D23" i="4"/>
  <c r="C23" i="4"/>
  <c r="B23" i="4"/>
  <c r="F22" i="4"/>
  <c r="F21" i="4"/>
  <c r="F20" i="4"/>
  <c r="F19" i="4"/>
  <c r="F18" i="4"/>
  <c r="F17" i="4"/>
  <c r="F16" i="4"/>
  <c r="F15" i="4"/>
  <c r="F14" i="4"/>
  <c r="F13" i="4"/>
  <c r="F12" i="4"/>
  <c r="D22" i="4"/>
  <c r="D21" i="4"/>
  <c r="D20" i="4"/>
  <c r="D19" i="4"/>
  <c r="D18" i="4"/>
  <c r="D17" i="4"/>
  <c r="D16" i="4"/>
  <c r="D15" i="4"/>
  <c r="D14" i="4"/>
  <c r="D13" i="4"/>
  <c r="D12" i="4"/>
  <c r="C22" i="4"/>
  <c r="C21" i="4"/>
  <c r="C20" i="4"/>
  <c r="C19" i="4"/>
  <c r="C18" i="4"/>
  <c r="C17" i="4"/>
  <c r="C16" i="4"/>
  <c r="C15" i="4"/>
  <c r="C14" i="4"/>
  <c r="C13" i="4"/>
  <c r="C12" i="4"/>
  <c r="B22" i="4"/>
  <c r="B21" i="4"/>
  <c r="B20" i="4"/>
  <c r="B19" i="4"/>
  <c r="B18" i="4"/>
  <c r="B17" i="4"/>
  <c r="B16" i="4"/>
  <c r="B15" i="4"/>
  <c r="B14" i="4"/>
  <c r="B13" i="4"/>
  <c r="B12" i="4"/>
  <c r="F11" i="4"/>
  <c r="D11" i="4"/>
  <c r="C11" i="4"/>
  <c r="B11" i="4"/>
  <c r="A11" i="4"/>
  <c r="A12" i="4"/>
  <c r="A13" i="4"/>
  <c r="A14" i="4"/>
  <c r="A15" i="4"/>
  <c r="A16" i="4"/>
  <c r="A17" i="4"/>
  <c r="A18" i="4"/>
  <c r="A19" i="4"/>
  <c r="A20" i="4"/>
  <c r="A21" i="4"/>
  <c r="A22" i="4"/>
  <c r="B7" i="4"/>
  <c r="V370" i="2"/>
  <c r="V369" i="2"/>
  <c r="V368" i="2"/>
  <c r="V367" i="2"/>
  <c r="V366" i="2"/>
  <c r="V365" i="2"/>
  <c r="V364" i="2"/>
  <c r="V363" i="2"/>
  <c r="V362" i="2"/>
  <c r="V361" i="2"/>
  <c r="V360" i="2"/>
  <c r="V359" i="2"/>
  <c r="V358" i="2"/>
  <c r="V357" i="2"/>
  <c r="V356" i="2"/>
  <c r="V355" i="2"/>
  <c r="V354" i="2"/>
  <c r="V353" i="2"/>
  <c r="V352" i="2"/>
  <c r="V351" i="2"/>
  <c r="V350" i="2"/>
  <c r="V349" i="2"/>
  <c r="V348" i="2"/>
  <c r="V347" i="2"/>
  <c r="V346" i="2"/>
  <c r="V345" i="2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L5" i="2"/>
  <c r="B38" i="1"/>
  <c r="D38" i="1" s="1"/>
  <c r="B37" i="1"/>
  <c r="C37" i="1" s="1"/>
  <c r="B36" i="1"/>
  <c r="B35" i="1"/>
  <c r="D35" i="1" s="1"/>
  <c r="B34" i="1"/>
  <c r="D34" i="1" s="1"/>
  <c r="B33" i="1"/>
  <c r="D33" i="1" s="1"/>
  <c r="B32" i="1"/>
  <c r="D32" i="1" s="1"/>
  <c r="B31" i="1"/>
  <c r="C31" i="1" s="1"/>
  <c r="B5" i="2"/>
  <c r="A6" i="2"/>
  <c r="A5" i="2"/>
  <c r="I12" i="3"/>
  <c r="I11" i="3"/>
  <c r="I9" i="3"/>
  <c r="I8" i="3"/>
  <c r="I7" i="3"/>
  <c r="I6" i="3"/>
  <c r="I5" i="3"/>
  <c r="H12" i="3"/>
  <c r="H11" i="3"/>
  <c r="H9" i="3"/>
  <c r="H8" i="3"/>
  <c r="H7" i="3"/>
  <c r="H6" i="3"/>
  <c r="H5" i="3"/>
  <c r="G12" i="3"/>
  <c r="G11" i="3"/>
  <c r="G9" i="3"/>
  <c r="G8" i="3"/>
  <c r="G7" i="3"/>
  <c r="G6" i="3"/>
  <c r="G5" i="3"/>
  <c r="E12" i="3"/>
  <c r="E11" i="3"/>
  <c r="E10" i="3"/>
  <c r="M5" i="2" s="1"/>
  <c r="E9" i="3"/>
  <c r="E8" i="3"/>
  <c r="E7" i="3"/>
  <c r="E6" i="3"/>
  <c r="E5" i="3"/>
  <c r="B48" i="1" l="1"/>
  <c r="C47" i="1" s="1"/>
  <c r="G10" i="3"/>
  <c r="H10" i="3" s="1"/>
  <c r="H22" i="4"/>
  <c r="H21" i="4"/>
  <c r="F36" i="1"/>
  <c r="H20" i="4"/>
  <c r="H19" i="4"/>
  <c r="H18" i="4"/>
  <c r="H17" i="4"/>
  <c r="H11" i="4"/>
  <c r="H16" i="4"/>
  <c r="H15" i="4"/>
  <c r="H14" i="4"/>
  <c r="H13" i="4"/>
  <c r="H12" i="4"/>
  <c r="D36" i="1"/>
  <c r="I10" i="3"/>
  <c r="C36" i="1"/>
  <c r="D37" i="1"/>
  <c r="C32" i="1"/>
  <c r="M6" i="2"/>
  <c r="O6" i="2" s="1"/>
  <c r="C33" i="1"/>
  <c r="L6" i="2"/>
  <c r="C38" i="1"/>
  <c r="C35" i="1"/>
  <c r="C34" i="1"/>
  <c r="D31" i="1"/>
  <c r="B39" i="1"/>
  <c r="S6" i="2"/>
  <c r="A7" i="2"/>
  <c r="K5" i="2"/>
  <c r="K6" i="2"/>
  <c r="B6" i="2"/>
  <c r="S5" i="2"/>
  <c r="O5" i="2"/>
  <c r="C46" i="1" l="1"/>
  <c r="C45" i="1"/>
  <c r="C48" i="1" s="1"/>
  <c r="T5" i="2"/>
  <c r="V5" i="2" s="1"/>
  <c r="H23" i="4"/>
  <c r="M47" i="1" s="1"/>
  <c r="L7" i="2"/>
  <c r="M7" i="2"/>
  <c r="O7" i="2" s="1"/>
  <c r="T6" i="2"/>
  <c r="D39" i="1"/>
  <c r="F39" i="1" s="1"/>
  <c r="E34" i="1"/>
  <c r="C39" i="1"/>
  <c r="E32" i="1"/>
  <c r="E35" i="1"/>
  <c r="E33" i="1"/>
  <c r="E37" i="1"/>
  <c r="E38" i="1"/>
  <c r="E36" i="1"/>
  <c r="E31" i="1"/>
  <c r="A8" i="2"/>
  <c r="S7" i="2"/>
  <c r="T7" i="2" s="1"/>
  <c r="K7" i="2"/>
  <c r="B7" i="2"/>
  <c r="F47" i="1" l="1"/>
  <c r="F48" i="1"/>
  <c r="M5" i="1"/>
  <c r="G6" i="6" s="1"/>
  <c r="M8" i="2"/>
  <c r="L8" i="2"/>
  <c r="E39" i="1"/>
  <c r="A9" i="2"/>
  <c r="K8" i="2"/>
  <c r="B8" i="2"/>
  <c r="S8" i="2"/>
  <c r="T8" i="2" s="1"/>
  <c r="O8" i="2" l="1"/>
  <c r="M9" i="2"/>
  <c r="L9" i="2"/>
  <c r="A10" i="2"/>
  <c r="S9" i="2"/>
  <c r="T9" i="2" s="1"/>
  <c r="K9" i="2"/>
  <c r="B9" i="2"/>
  <c r="O9" i="2" l="1"/>
  <c r="M10" i="2"/>
  <c r="O10" i="2" s="1"/>
  <c r="L10" i="2"/>
  <c r="S10" i="2"/>
  <c r="T10" i="2" s="1"/>
  <c r="K10" i="2"/>
  <c r="B10" i="2"/>
  <c r="A11" i="2"/>
  <c r="M11" i="2" l="1"/>
  <c r="L11" i="2"/>
  <c r="A12" i="2"/>
  <c r="S11" i="2"/>
  <c r="T11" i="2" s="1"/>
  <c r="K11" i="2"/>
  <c r="B11" i="2"/>
  <c r="L12" i="2" l="1"/>
  <c r="M12" i="2"/>
  <c r="O11" i="2"/>
  <c r="A13" i="2"/>
  <c r="S12" i="2"/>
  <c r="B12" i="2"/>
  <c r="T12" i="2"/>
  <c r="K12" i="2"/>
  <c r="M13" i="2" l="1"/>
  <c r="L13" i="2"/>
  <c r="O12" i="2"/>
  <c r="A14" i="2"/>
  <c r="S13" i="2"/>
  <c r="B13" i="2"/>
  <c r="T13" i="2"/>
  <c r="K13" i="2"/>
  <c r="L14" i="2" l="1"/>
  <c r="M14" i="2"/>
  <c r="O13" i="2"/>
  <c r="A15" i="2"/>
  <c r="S14" i="2"/>
  <c r="T14" i="2"/>
  <c r="K14" i="2"/>
  <c r="B14" i="2"/>
  <c r="L15" i="2" l="1"/>
  <c r="M15" i="2"/>
  <c r="O15" i="2" s="1"/>
  <c r="O14" i="2"/>
  <c r="A16" i="2"/>
  <c r="S15" i="2"/>
  <c r="B15" i="2"/>
  <c r="K15" i="2"/>
  <c r="L16" i="2" l="1"/>
  <c r="M16" i="2"/>
  <c r="T15" i="2"/>
  <c r="A17" i="2"/>
  <c r="S16" i="2"/>
  <c r="K16" i="2"/>
  <c r="T16" i="2"/>
  <c r="B16" i="2"/>
  <c r="L17" i="2" l="1"/>
  <c r="M17" i="2"/>
  <c r="O16" i="2"/>
  <c r="A18" i="2"/>
  <c r="S17" i="2"/>
  <c r="T17" i="2" s="1"/>
  <c r="O17" i="2"/>
  <c r="B17" i="2"/>
  <c r="K17" i="2"/>
  <c r="L18" i="2" l="1"/>
  <c r="M18" i="2"/>
  <c r="A19" i="2"/>
  <c r="S18" i="2"/>
  <c r="K18" i="2"/>
  <c r="B18" i="2"/>
  <c r="O18" i="2" l="1"/>
  <c r="T18" i="2"/>
  <c r="L19" i="2"/>
  <c r="M19" i="2"/>
  <c r="A20" i="2"/>
  <c r="O19" i="2"/>
  <c r="S19" i="2"/>
  <c r="T19" i="2" s="1"/>
  <c r="K19" i="2"/>
  <c r="B19" i="2"/>
  <c r="M20" i="2" l="1"/>
  <c r="L20" i="2"/>
  <c r="A21" i="2"/>
  <c r="S20" i="2"/>
  <c r="T20" i="2" s="1"/>
  <c r="O20" i="2"/>
  <c r="B20" i="2"/>
  <c r="K20" i="2"/>
  <c r="M21" i="2" l="1"/>
  <c r="O21" i="2" s="1"/>
  <c r="L21" i="2"/>
  <c r="A22" i="2"/>
  <c r="S21" i="2"/>
  <c r="T21" i="2" s="1"/>
  <c r="K21" i="2"/>
  <c r="B21" i="2"/>
  <c r="M22" i="2" l="1"/>
  <c r="O22" i="2" s="1"/>
  <c r="L22" i="2"/>
  <c r="A23" i="2"/>
  <c r="S22" i="2"/>
  <c r="T22" i="2" s="1"/>
  <c r="K22" i="2"/>
  <c r="B22" i="2"/>
  <c r="M23" i="2" l="1"/>
  <c r="L23" i="2"/>
  <c r="A24" i="2"/>
  <c r="S23" i="2"/>
  <c r="K23" i="2"/>
  <c r="B23" i="2"/>
  <c r="O23" i="2"/>
  <c r="L24" i="2" l="1"/>
  <c r="M24" i="2"/>
  <c r="T23" i="2"/>
  <c r="A25" i="2"/>
  <c r="S24" i="2"/>
  <c r="B24" i="2"/>
  <c r="K24" i="2"/>
  <c r="T24" i="2"/>
  <c r="M25" i="2" l="1"/>
  <c r="L25" i="2"/>
  <c r="O24" i="2"/>
  <c r="A26" i="2"/>
  <c r="S25" i="2"/>
  <c r="B25" i="2"/>
  <c r="K25" i="2"/>
  <c r="O25" i="2"/>
  <c r="L26" i="2" l="1"/>
  <c r="M26" i="2"/>
  <c r="O26" i="2" s="1"/>
  <c r="T25" i="2"/>
  <c r="A27" i="2"/>
  <c r="S26" i="2"/>
  <c r="B26" i="2"/>
  <c r="K26" i="2"/>
  <c r="L27" i="2" l="1"/>
  <c r="M27" i="2"/>
  <c r="T26" i="2"/>
  <c r="A28" i="2"/>
  <c r="S27" i="2"/>
  <c r="O27" i="2"/>
  <c r="B27" i="2"/>
  <c r="K27" i="2"/>
  <c r="L28" i="2" l="1"/>
  <c r="M28" i="2"/>
  <c r="O28" i="2" s="1"/>
  <c r="T27" i="2"/>
  <c r="A29" i="2"/>
  <c r="S28" i="2"/>
  <c r="T28" i="2" s="1"/>
  <c r="K28" i="2"/>
  <c r="B28" i="2"/>
  <c r="L29" i="2" l="1"/>
  <c r="M29" i="2"/>
  <c r="A30" i="2"/>
  <c r="S29" i="2"/>
  <c r="T29" i="2" s="1"/>
  <c r="O29" i="2"/>
  <c r="B29" i="2"/>
  <c r="K29" i="2"/>
  <c r="L30" i="2" l="1"/>
  <c r="M30" i="2"/>
  <c r="A31" i="2"/>
  <c r="S30" i="2"/>
  <c r="T30" i="2" s="1"/>
  <c r="O30" i="2"/>
  <c r="K30" i="2"/>
  <c r="B30" i="2"/>
  <c r="L31" i="2" l="1"/>
  <c r="M31" i="2"/>
  <c r="O31" i="2" s="1"/>
  <c r="A32" i="2"/>
  <c r="S31" i="2"/>
  <c r="T31" i="2" s="1"/>
  <c r="B31" i="2"/>
  <c r="K31" i="2"/>
  <c r="M32" i="2" l="1"/>
  <c r="L32" i="2"/>
  <c r="A33" i="2"/>
  <c r="S32" i="2"/>
  <c r="T32" i="2" s="1"/>
  <c r="O32" i="2"/>
  <c r="B32" i="2"/>
  <c r="K32" i="2"/>
  <c r="M33" i="2" l="1"/>
  <c r="L33" i="2"/>
  <c r="A34" i="2"/>
  <c r="S33" i="2"/>
  <c r="T33" i="2" s="1"/>
  <c r="O33" i="2"/>
  <c r="B33" i="2"/>
  <c r="K33" i="2"/>
  <c r="M34" i="2" l="1"/>
  <c r="L34" i="2"/>
  <c r="A35" i="2"/>
  <c r="S34" i="2"/>
  <c r="T34" i="2" s="1"/>
  <c r="O34" i="2"/>
  <c r="K34" i="2"/>
  <c r="B34" i="2"/>
  <c r="M35" i="2" l="1"/>
  <c r="L35" i="2"/>
  <c r="A36" i="2"/>
  <c r="S35" i="2"/>
  <c r="K35" i="2"/>
  <c r="B35" i="2"/>
  <c r="O35" i="2"/>
  <c r="L36" i="2" l="1"/>
  <c r="M36" i="2"/>
  <c r="O36" i="2" s="1"/>
  <c r="T35" i="2"/>
  <c r="A37" i="2"/>
  <c r="S36" i="2"/>
  <c r="K36" i="2"/>
  <c r="B36" i="2"/>
  <c r="L37" i="2" l="1"/>
  <c r="M37" i="2"/>
  <c r="T36" i="2"/>
  <c r="A38" i="2"/>
  <c r="S37" i="2"/>
  <c r="B37" i="2"/>
  <c r="O37" i="2"/>
  <c r="K37" i="2"/>
  <c r="L38" i="2" l="1"/>
  <c r="M38" i="2"/>
  <c r="T37" i="2"/>
  <c r="A39" i="2"/>
  <c r="S38" i="2"/>
  <c r="O38" i="2"/>
  <c r="B38" i="2"/>
  <c r="K38" i="2"/>
  <c r="L39" i="2" l="1"/>
  <c r="M39" i="2"/>
  <c r="T38" i="2"/>
  <c r="A40" i="2"/>
  <c r="S39" i="2"/>
  <c r="K39" i="2"/>
  <c r="T39" i="2"/>
  <c r="B39" i="2"/>
  <c r="L40" i="2" l="1"/>
  <c r="M40" i="2"/>
  <c r="O39" i="2"/>
  <c r="A41" i="2"/>
  <c r="S40" i="2"/>
  <c r="K40" i="2"/>
  <c r="T40" i="2"/>
  <c r="B40" i="2"/>
  <c r="L41" i="2" l="1"/>
  <c r="M41" i="2"/>
  <c r="O40" i="2"/>
  <c r="A42" i="2"/>
  <c r="S41" i="2"/>
  <c r="T41" i="2" s="1"/>
  <c r="O41" i="2"/>
  <c r="B41" i="2"/>
  <c r="K41" i="2"/>
  <c r="L42" i="2" l="1"/>
  <c r="M42" i="2"/>
  <c r="A43" i="2"/>
  <c r="O42" i="2"/>
  <c r="S42" i="2"/>
  <c r="T42" i="2" s="1"/>
  <c r="B42" i="2"/>
  <c r="K42" i="2"/>
  <c r="L43" i="2" l="1"/>
  <c r="M43" i="2"/>
  <c r="A44" i="2"/>
  <c r="S43" i="2"/>
  <c r="T43" i="2" s="1"/>
  <c r="O43" i="2"/>
  <c r="B43" i="2"/>
  <c r="K43" i="2"/>
  <c r="M44" i="2" l="1"/>
  <c r="L44" i="2"/>
  <c r="A45" i="2"/>
  <c r="O44" i="2"/>
  <c r="S44" i="2"/>
  <c r="T44" i="2" s="1"/>
  <c r="K44" i="2"/>
  <c r="B44" i="2"/>
  <c r="M45" i="2" l="1"/>
  <c r="O45" i="2" s="1"/>
  <c r="L45" i="2"/>
  <c r="A46" i="2"/>
  <c r="S45" i="2"/>
  <c r="T45" i="2" s="1"/>
  <c r="B45" i="2"/>
  <c r="K45" i="2"/>
  <c r="M46" i="2" l="1"/>
  <c r="O46" i="2" s="1"/>
  <c r="L46" i="2"/>
  <c r="A47" i="2"/>
  <c r="S46" i="2"/>
  <c r="T46" i="2" s="1"/>
  <c r="B46" i="2"/>
  <c r="K46" i="2"/>
  <c r="M47" i="2" l="1"/>
  <c r="L47" i="2"/>
  <c r="A48" i="2"/>
  <c r="S47" i="2"/>
  <c r="B47" i="2"/>
  <c r="T47" i="2"/>
  <c r="K47" i="2"/>
  <c r="L48" i="2" l="1"/>
  <c r="M48" i="2"/>
  <c r="O47" i="2"/>
  <c r="A49" i="2"/>
  <c r="S48" i="2"/>
  <c r="B48" i="2"/>
  <c r="T48" i="2"/>
  <c r="K48" i="2"/>
  <c r="M49" i="2" l="1"/>
  <c r="L49" i="2"/>
  <c r="O48" i="2"/>
  <c r="A50" i="2"/>
  <c r="S49" i="2"/>
  <c r="T49" i="2" s="1"/>
  <c r="B49" i="2"/>
  <c r="O49" i="2"/>
  <c r="K49" i="2"/>
  <c r="L50" i="2" l="1"/>
  <c r="M50" i="2"/>
  <c r="O50" i="2" s="1"/>
  <c r="A51" i="2"/>
  <c r="S50" i="2"/>
  <c r="K50" i="2"/>
  <c r="B50" i="2"/>
  <c r="L51" i="2" l="1"/>
  <c r="M51" i="2"/>
  <c r="T50" i="2"/>
  <c r="A52" i="2"/>
  <c r="S51" i="2"/>
  <c r="K51" i="2"/>
  <c r="T51" i="2"/>
  <c r="B51" i="2"/>
  <c r="L52" i="2" l="1"/>
  <c r="M52" i="2"/>
  <c r="O51" i="2"/>
  <c r="A53" i="2"/>
  <c r="S52" i="2"/>
  <c r="K52" i="2"/>
  <c r="T52" i="2"/>
  <c r="B52" i="2"/>
  <c r="L53" i="2" l="1"/>
  <c r="M53" i="2"/>
  <c r="O52" i="2"/>
  <c r="A54" i="2"/>
  <c r="S53" i="2"/>
  <c r="T53" i="2" s="1"/>
  <c r="O53" i="2"/>
  <c r="K53" i="2"/>
  <c r="B53" i="2"/>
  <c r="L54" i="2" l="1"/>
  <c r="M54" i="2"/>
  <c r="A55" i="2"/>
  <c r="S54" i="2"/>
  <c r="T54" i="2" s="1"/>
  <c r="O54" i="2"/>
  <c r="B54" i="2"/>
  <c r="K54" i="2"/>
  <c r="L55" i="2" l="1"/>
  <c r="M55" i="2"/>
  <c r="O55" i="2" s="1"/>
  <c r="A56" i="2"/>
  <c r="S55" i="2"/>
  <c r="T55" i="2" s="1"/>
  <c r="B55" i="2"/>
  <c r="K55" i="2"/>
  <c r="M56" i="2" l="1"/>
  <c r="L56" i="2"/>
  <c r="A57" i="2"/>
  <c r="S56" i="2"/>
  <c r="T56" i="2" s="1"/>
  <c r="O56" i="2"/>
  <c r="B56" i="2"/>
  <c r="K56" i="2"/>
  <c r="L57" i="2" l="1"/>
  <c r="M57" i="2"/>
  <c r="A58" i="2"/>
  <c r="S57" i="2"/>
  <c r="T57" i="2" s="1"/>
  <c r="O57" i="2"/>
  <c r="B57" i="2"/>
  <c r="K57" i="2"/>
  <c r="M58" i="2" l="1"/>
  <c r="O58" i="2" s="1"/>
  <c r="L58" i="2"/>
  <c r="A59" i="2"/>
  <c r="S58" i="2"/>
  <c r="T58" i="2" s="1"/>
  <c r="B58" i="2"/>
  <c r="K58" i="2"/>
  <c r="M59" i="2" l="1"/>
  <c r="L59" i="2"/>
  <c r="A60" i="2"/>
  <c r="S59" i="2"/>
  <c r="B59" i="2"/>
  <c r="K59" i="2"/>
  <c r="T59" i="2"/>
  <c r="L60" i="2" l="1"/>
  <c r="M60" i="2"/>
  <c r="O59" i="2"/>
  <c r="A61" i="2"/>
  <c r="S60" i="2"/>
  <c r="B60" i="2"/>
  <c r="K60" i="2"/>
  <c r="O60" i="2"/>
  <c r="L61" i="2" l="1"/>
  <c r="M61" i="2"/>
  <c r="O61" i="2" s="1"/>
  <c r="T60" i="2"/>
  <c r="A62" i="2"/>
  <c r="S61" i="2"/>
  <c r="K61" i="2"/>
  <c r="B61" i="2"/>
  <c r="L62" i="2" l="1"/>
  <c r="M62" i="2"/>
  <c r="T61" i="2"/>
  <c r="A63" i="2"/>
  <c r="S62" i="2"/>
  <c r="K62" i="2"/>
  <c r="B62" i="2"/>
  <c r="O62" i="2"/>
  <c r="L63" i="2" l="1"/>
  <c r="M63" i="2"/>
  <c r="T62" i="2"/>
  <c r="A64" i="2"/>
  <c r="S63" i="2"/>
  <c r="T63" i="2" s="1"/>
  <c r="K63" i="2"/>
  <c r="O63" i="2"/>
  <c r="B63" i="2"/>
  <c r="L64" i="2" l="1"/>
  <c r="M64" i="2"/>
  <c r="A65" i="2"/>
  <c r="S64" i="2"/>
  <c r="K64" i="2"/>
  <c r="T64" i="2"/>
  <c r="B64" i="2"/>
  <c r="O64" i="2"/>
  <c r="L65" i="2" l="1"/>
  <c r="M65" i="2"/>
  <c r="A66" i="2"/>
  <c r="S65" i="2"/>
  <c r="T65" i="2" s="1"/>
  <c r="O65" i="2"/>
  <c r="K65" i="2"/>
  <c r="B65" i="2"/>
  <c r="L66" i="2" l="1"/>
  <c r="M66" i="2"/>
  <c r="A67" i="2"/>
  <c r="S66" i="2"/>
  <c r="T66" i="2" s="1"/>
  <c r="O66" i="2"/>
  <c r="K66" i="2"/>
  <c r="B66" i="2"/>
  <c r="L67" i="2" l="1"/>
  <c r="M67" i="2"/>
  <c r="A68" i="2"/>
  <c r="S67" i="2"/>
  <c r="T67" i="2" s="1"/>
  <c r="O67" i="2"/>
  <c r="K67" i="2"/>
  <c r="B67" i="2"/>
  <c r="M68" i="2" l="1"/>
  <c r="O68" i="2" s="1"/>
  <c r="L68" i="2"/>
  <c r="A69" i="2"/>
  <c r="S68" i="2"/>
  <c r="T68" i="2" s="1"/>
  <c r="B68" i="2"/>
  <c r="K68" i="2"/>
  <c r="L69" i="2" l="1"/>
  <c r="M69" i="2"/>
  <c r="A70" i="2"/>
  <c r="S69" i="2"/>
  <c r="T69" i="2" s="1"/>
  <c r="O69" i="2"/>
  <c r="K69" i="2"/>
  <c r="B69" i="2"/>
  <c r="M70" i="2" l="1"/>
  <c r="L70" i="2"/>
  <c r="A71" i="2"/>
  <c r="S70" i="2"/>
  <c r="T70" i="2" s="1"/>
  <c r="O70" i="2"/>
  <c r="B70" i="2"/>
  <c r="K70" i="2"/>
  <c r="M71" i="2" l="1"/>
  <c r="L71" i="2"/>
  <c r="A72" i="2"/>
  <c r="S71" i="2"/>
  <c r="B71" i="2"/>
  <c r="O71" i="2"/>
  <c r="K71" i="2"/>
  <c r="L72" i="2" l="1"/>
  <c r="M72" i="2"/>
  <c r="T71" i="2"/>
  <c r="A73" i="2"/>
  <c r="S72" i="2"/>
  <c r="B72" i="2"/>
  <c r="O72" i="2"/>
  <c r="K72" i="2"/>
  <c r="M73" i="2" l="1"/>
  <c r="L73" i="2"/>
  <c r="T72" i="2"/>
  <c r="A74" i="2"/>
  <c r="S73" i="2"/>
  <c r="T73" i="2" s="1"/>
  <c r="K73" i="2"/>
  <c r="B73" i="2"/>
  <c r="O73" i="2"/>
  <c r="L74" i="2" l="1"/>
  <c r="M74" i="2"/>
  <c r="O74" i="2" s="1"/>
  <c r="A75" i="2"/>
  <c r="S74" i="2"/>
  <c r="K74" i="2"/>
  <c r="B74" i="2"/>
  <c r="L75" i="2" l="1"/>
  <c r="M75" i="2"/>
  <c r="T74" i="2"/>
  <c r="A76" i="2"/>
  <c r="S75" i="2"/>
  <c r="K75" i="2"/>
  <c r="T75" i="2"/>
  <c r="B75" i="2"/>
  <c r="L76" i="2" l="1"/>
  <c r="M76" i="2"/>
  <c r="O75" i="2"/>
  <c r="A77" i="2"/>
  <c r="S76" i="2"/>
  <c r="T76" i="2" s="1"/>
  <c r="K76" i="2"/>
  <c r="O76" i="2"/>
  <c r="B76" i="2"/>
  <c r="L77" i="2" l="1"/>
  <c r="M77" i="2"/>
  <c r="A78" i="2"/>
  <c r="S77" i="2"/>
  <c r="T77" i="2" s="1"/>
  <c r="O77" i="2"/>
  <c r="K77" i="2"/>
  <c r="B77" i="2"/>
  <c r="L78" i="2" l="1"/>
  <c r="M78" i="2"/>
  <c r="A79" i="2"/>
  <c r="S78" i="2"/>
  <c r="T78" i="2" s="1"/>
  <c r="O78" i="2"/>
  <c r="K78" i="2"/>
  <c r="B78" i="2"/>
  <c r="L79" i="2" l="1"/>
  <c r="M79" i="2"/>
  <c r="A80" i="2"/>
  <c r="S79" i="2"/>
  <c r="T79" i="2" s="1"/>
  <c r="O79" i="2"/>
  <c r="K79" i="2"/>
  <c r="B79" i="2"/>
  <c r="M80" i="2" l="1"/>
  <c r="L80" i="2"/>
  <c r="A81" i="2"/>
  <c r="S80" i="2"/>
  <c r="T80" i="2" s="1"/>
  <c r="O80" i="2"/>
  <c r="K80" i="2"/>
  <c r="B80" i="2"/>
  <c r="M81" i="2" l="1"/>
  <c r="L81" i="2"/>
  <c r="A82" i="2"/>
  <c r="S81" i="2"/>
  <c r="T81" i="2" s="1"/>
  <c r="O81" i="2"/>
  <c r="K81" i="2"/>
  <c r="B81" i="2"/>
  <c r="M82" i="2" l="1"/>
  <c r="O82" i="2" s="1"/>
  <c r="L82" i="2"/>
  <c r="A83" i="2"/>
  <c r="S82" i="2"/>
  <c r="T82" i="2" s="1"/>
  <c r="B82" i="2"/>
  <c r="K82" i="2"/>
  <c r="M83" i="2" l="1"/>
  <c r="L83" i="2"/>
  <c r="A84" i="2"/>
  <c r="S83" i="2"/>
  <c r="T83" i="2" s="1"/>
  <c r="K83" i="2"/>
  <c r="O83" i="2"/>
  <c r="B83" i="2"/>
  <c r="L84" i="2" l="1"/>
  <c r="M84" i="2"/>
  <c r="A85" i="2"/>
  <c r="S84" i="2"/>
  <c r="K84" i="2"/>
  <c r="O84" i="2"/>
  <c r="B84" i="2"/>
  <c r="M85" i="2" l="1"/>
  <c r="O85" i="2" s="1"/>
  <c r="L85" i="2"/>
  <c r="T84" i="2"/>
  <c r="A86" i="2"/>
  <c r="S85" i="2"/>
  <c r="K85" i="2"/>
  <c r="B85" i="2"/>
  <c r="L86" i="2" l="1"/>
  <c r="M86" i="2"/>
  <c r="T85" i="2"/>
  <c r="A87" i="2"/>
  <c r="S86" i="2"/>
  <c r="K86" i="2"/>
  <c r="B86" i="2"/>
  <c r="O86" i="2" l="1"/>
  <c r="L87" i="2"/>
  <c r="M87" i="2"/>
  <c r="T86" i="2"/>
  <c r="A88" i="2"/>
  <c r="S87" i="2"/>
  <c r="K87" i="2"/>
  <c r="T87" i="2"/>
  <c r="B87" i="2"/>
  <c r="L88" i="2" l="1"/>
  <c r="M88" i="2"/>
  <c r="O87" i="2"/>
  <c r="A89" i="2"/>
  <c r="S88" i="2"/>
  <c r="K88" i="2"/>
  <c r="T88" i="2"/>
  <c r="B88" i="2"/>
  <c r="O88" i="2"/>
  <c r="L89" i="2" l="1"/>
  <c r="M89" i="2"/>
  <c r="A90" i="2"/>
  <c r="S89" i="2"/>
  <c r="T89" i="2" s="1"/>
  <c r="O89" i="2"/>
  <c r="K89" i="2"/>
  <c r="B89" i="2"/>
  <c r="L90" i="2" l="1"/>
  <c r="M90" i="2"/>
  <c r="O90" i="2" s="1"/>
  <c r="A91" i="2"/>
  <c r="S90" i="2"/>
  <c r="T90" i="2" s="1"/>
  <c r="B90" i="2"/>
  <c r="K90" i="2"/>
  <c r="L91" i="2" l="1"/>
  <c r="M91" i="2"/>
  <c r="A92" i="2"/>
  <c r="S91" i="2"/>
  <c r="T91" i="2" s="1"/>
  <c r="O91" i="2"/>
  <c r="B91" i="2"/>
  <c r="K91" i="2"/>
  <c r="M92" i="2" l="1"/>
  <c r="L92" i="2"/>
  <c r="A93" i="2"/>
  <c r="S92" i="2"/>
  <c r="T92" i="2" s="1"/>
  <c r="O92" i="2"/>
  <c r="B92" i="2"/>
  <c r="K92" i="2"/>
  <c r="M93" i="2" l="1"/>
  <c r="L93" i="2"/>
  <c r="A94" i="2"/>
  <c r="O93" i="2"/>
  <c r="B93" i="2"/>
  <c r="S93" i="2"/>
  <c r="T93" i="2" s="1"/>
  <c r="K93" i="2"/>
  <c r="M94" i="2" l="1"/>
  <c r="L94" i="2"/>
  <c r="A95" i="2"/>
  <c r="S94" i="2"/>
  <c r="T94" i="2" s="1"/>
  <c r="O94" i="2"/>
  <c r="B94" i="2"/>
  <c r="K94" i="2"/>
  <c r="M95" i="2" l="1"/>
  <c r="L95" i="2"/>
  <c r="A96" i="2"/>
  <c r="S95" i="2"/>
  <c r="B95" i="2"/>
  <c r="K95" i="2"/>
  <c r="T95" i="2"/>
  <c r="L96" i="2" l="1"/>
  <c r="M96" i="2"/>
  <c r="O96" i="2" s="1"/>
  <c r="O95" i="2"/>
  <c r="A97" i="2"/>
  <c r="S96" i="2"/>
  <c r="B96" i="2"/>
  <c r="K96" i="2"/>
  <c r="L97" i="2" l="1"/>
  <c r="M97" i="2"/>
  <c r="T96" i="2"/>
  <c r="A98" i="2"/>
  <c r="S97" i="2"/>
  <c r="K97" i="2"/>
  <c r="B97" i="2"/>
  <c r="O97" i="2"/>
  <c r="L98" i="2" l="1"/>
  <c r="M98" i="2"/>
  <c r="T97" i="2"/>
  <c r="A99" i="2"/>
  <c r="S98" i="2"/>
  <c r="K98" i="2"/>
  <c r="B98" i="2"/>
  <c r="O98" i="2"/>
  <c r="L99" i="2" l="1"/>
  <c r="M99" i="2"/>
  <c r="T98" i="2"/>
  <c r="A100" i="2"/>
  <c r="S99" i="2"/>
  <c r="K99" i="2"/>
  <c r="T99" i="2"/>
  <c r="B99" i="2"/>
  <c r="L100" i="2" l="1"/>
  <c r="M100" i="2"/>
  <c r="O99" i="2"/>
  <c r="A101" i="2"/>
  <c r="S100" i="2"/>
  <c r="K100" i="2"/>
  <c r="O100" i="2"/>
  <c r="B100" i="2"/>
  <c r="L101" i="2" l="1"/>
  <c r="M101" i="2"/>
  <c r="T100" i="2"/>
  <c r="A102" i="2"/>
  <c r="O101" i="2"/>
  <c r="S101" i="2"/>
  <c r="T101" i="2" s="1"/>
  <c r="B101" i="2"/>
  <c r="K101" i="2"/>
  <c r="L102" i="2" l="1"/>
  <c r="M102" i="2"/>
  <c r="A103" i="2"/>
  <c r="S102" i="2"/>
  <c r="T102" i="2" s="1"/>
  <c r="O102" i="2"/>
  <c r="K102" i="2"/>
  <c r="B102" i="2"/>
  <c r="L103" i="2" l="1"/>
  <c r="M103" i="2"/>
  <c r="A104" i="2"/>
  <c r="O103" i="2"/>
  <c r="S103" i="2"/>
  <c r="T103" i="2" s="1"/>
  <c r="B103" i="2"/>
  <c r="K103" i="2"/>
  <c r="M104" i="2" l="1"/>
  <c r="L104" i="2"/>
  <c r="A105" i="2"/>
  <c r="O104" i="2"/>
  <c r="S104" i="2"/>
  <c r="T104" i="2" s="1"/>
  <c r="K104" i="2"/>
  <c r="B104" i="2"/>
  <c r="M105" i="2" l="1"/>
  <c r="L105" i="2"/>
  <c r="A106" i="2"/>
  <c r="S105" i="2"/>
  <c r="T105" i="2" s="1"/>
  <c r="O105" i="2"/>
  <c r="K105" i="2"/>
  <c r="B105" i="2"/>
  <c r="M106" i="2" l="1"/>
  <c r="L106" i="2"/>
  <c r="A107" i="2"/>
  <c r="S106" i="2"/>
  <c r="T106" i="2" s="1"/>
  <c r="O106" i="2"/>
  <c r="B106" i="2"/>
  <c r="K106" i="2"/>
  <c r="M107" i="2" l="1"/>
  <c r="L107" i="2"/>
  <c r="A108" i="2"/>
  <c r="S107" i="2"/>
  <c r="B107" i="2"/>
  <c r="T107" i="2"/>
  <c r="K107" i="2"/>
  <c r="L108" i="2" l="1"/>
  <c r="M108" i="2"/>
  <c r="O108" i="2" s="1"/>
  <c r="O107" i="2"/>
  <c r="A109" i="2"/>
  <c r="S108" i="2"/>
  <c r="B108" i="2"/>
  <c r="K108" i="2"/>
  <c r="M109" i="2" l="1"/>
  <c r="L109" i="2"/>
  <c r="T108" i="2"/>
  <c r="A110" i="2"/>
  <c r="S109" i="2"/>
  <c r="K109" i="2"/>
  <c r="T109" i="2"/>
  <c r="B109" i="2"/>
  <c r="L110" i="2" l="1"/>
  <c r="M110" i="2"/>
  <c r="O109" i="2"/>
  <c r="A111" i="2"/>
  <c r="S110" i="2"/>
  <c r="K110" i="2"/>
  <c r="B110" i="2"/>
  <c r="T110" i="2"/>
  <c r="L111" i="2" l="1"/>
  <c r="M111" i="2"/>
  <c r="O110" i="2"/>
  <c r="A112" i="2"/>
  <c r="S111" i="2"/>
  <c r="K111" i="2"/>
  <c r="T111" i="2"/>
  <c r="B111" i="2"/>
  <c r="L112" i="2" l="1"/>
  <c r="M112" i="2"/>
  <c r="O111" i="2"/>
  <c r="A113" i="2"/>
  <c r="S112" i="2"/>
  <c r="K112" i="2"/>
  <c r="T112" i="2"/>
  <c r="B112" i="2"/>
  <c r="L113" i="2" l="1"/>
  <c r="M113" i="2"/>
  <c r="O112" i="2"/>
  <c r="A114" i="2"/>
  <c r="S113" i="2"/>
  <c r="T113" i="2" s="1"/>
  <c r="O113" i="2"/>
  <c r="B113" i="2"/>
  <c r="K113" i="2"/>
  <c r="L114" i="2" l="1"/>
  <c r="M114" i="2"/>
  <c r="A115" i="2"/>
  <c r="O114" i="2"/>
  <c r="S114" i="2"/>
  <c r="T114" i="2" s="1"/>
  <c r="B114" i="2"/>
  <c r="K114" i="2"/>
  <c r="L115" i="2" l="1"/>
  <c r="M115" i="2"/>
  <c r="O115" i="2" s="1"/>
  <c r="A116" i="2"/>
  <c r="S115" i="2"/>
  <c r="T115" i="2" s="1"/>
  <c r="B115" i="2"/>
  <c r="K115" i="2"/>
  <c r="M116" i="2" l="1"/>
  <c r="O116" i="2" s="1"/>
  <c r="L116" i="2"/>
  <c r="A117" i="2"/>
  <c r="S116" i="2"/>
  <c r="T116" i="2" s="1"/>
  <c r="B116" i="2"/>
  <c r="K116" i="2"/>
  <c r="M117" i="2" l="1"/>
  <c r="O117" i="2" s="1"/>
  <c r="L117" i="2"/>
  <c r="A118" i="2"/>
  <c r="S117" i="2"/>
  <c r="T117" i="2" s="1"/>
  <c r="B117" i="2"/>
  <c r="K117" i="2"/>
  <c r="M118" i="2" l="1"/>
  <c r="O118" i="2" s="1"/>
  <c r="L118" i="2"/>
  <c r="A119" i="2"/>
  <c r="S118" i="2"/>
  <c r="T118" i="2" s="1"/>
  <c r="B118" i="2"/>
  <c r="K118" i="2"/>
  <c r="M119" i="2" l="1"/>
  <c r="L119" i="2"/>
  <c r="A120" i="2"/>
  <c r="S119" i="2"/>
  <c r="T119" i="2"/>
  <c r="B119" i="2"/>
  <c r="K119" i="2"/>
  <c r="L120" i="2" l="1"/>
  <c r="M120" i="2"/>
  <c r="O119" i="2"/>
  <c r="A121" i="2"/>
  <c r="S120" i="2"/>
  <c r="K120" i="2"/>
  <c r="T120" i="2"/>
  <c r="B120" i="2"/>
  <c r="M121" i="2" l="1"/>
  <c r="L121" i="2"/>
  <c r="O120" i="2"/>
  <c r="A122" i="2"/>
  <c r="S121" i="2"/>
  <c r="K121" i="2"/>
  <c r="O121" i="2"/>
  <c r="B121" i="2"/>
  <c r="L122" i="2" l="1"/>
  <c r="M122" i="2"/>
  <c r="T121" i="2"/>
  <c r="A123" i="2"/>
  <c r="S122" i="2"/>
  <c r="K122" i="2"/>
  <c r="B122" i="2"/>
  <c r="O122" i="2"/>
  <c r="L123" i="2" l="1"/>
  <c r="M123" i="2"/>
  <c r="T122" i="2"/>
  <c r="A124" i="2"/>
  <c r="S123" i="2"/>
  <c r="K123" i="2"/>
  <c r="T123" i="2"/>
  <c r="B123" i="2"/>
  <c r="L124" i="2" l="1"/>
  <c r="M124" i="2"/>
  <c r="O123" i="2"/>
  <c r="A125" i="2"/>
  <c r="S124" i="2"/>
  <c r="T124" i="2" s="1"/>
  <c r="K124" i="2"/>
  <c r="O124" i="2"/>
  <c r="B124" i="2"/>
  <c r="L125" i="2" l="1"/>
  <c r="M125" i="2"/>
  <c r="A126" i="2"/>
  <c r="S125" i="2"/>
  <c r="T125" i="2" s="1"/>
  <c r="O125" i="2"/>
  <c r="K125" i="2"/>
  <c r="B125" i="2"/>
  <c r="L126" i="2" l="1"/>
  <c r="M126" i="2"/>
  <c r="A127" i="2"/>
  <c r="O126" i="2"/>
  <c r="S126" i="2"/>
  <c r="T126" i="2" s="1"/>
  <c r="B126" i="2"/>
  <c r="K126" i="2"/>
  <c r="L127" i="2" l="1"/>
  <c r="M127" i="2"/>
  <c r="A128" i="2"/>
  <c r="O127" i="2"/>
  <c r="S127" i="2"/>
  <c r="T127" i="2" s="1"/>
  <c r="B127" i="2"/>
  <c r="K127" i="2"/>
  <c r="M128" i="2" l="1"/>
  <c r="L128" i="2"/>
  <c r="A129" i="2"/>
  <c r="S128" i="2"/>
  <c r="T128" i="2" s="1"/>
  <c r="O128" i="2"/>
  <c r="B128" i="2"/>
  <c r="K128" i="2"/>
  <c r="L129" i="2" l="1"/>
  <c r="M129" i="2"/>
  <c r="O129" i="2" s="1"/>
  <c r="A130" i="2"/>
  <c r="S129" i="2"/>
  <c r="T129" i="2" s="1"/>
  <c r="B129" i="2"/>
  <c r="K129" i="2"/>
  <c r="M130" i="2" l="1"/>
  <c r="L130" i="2"/>
  <c r="A131" i="2"/>
  <c r="S130" i="2"/>
  <c r="T130" i="2" s="1"/>
  <c r="B130" i="2"/>
  <c r="O130" i="2"/>
  <c r="K130" i="2"/>
  <c r="M131" i="2" l="1"/>
  <c r="L131" i="2"/>
  <c r="A132" i="2"/>
  <c r="S131" i="2"/>
  <c r="T131" i="2" s="1"/>
  <c r="K131" i="2"/>
  <c r="B131" i="2"/>
  <c r="L132" i="2" l="1"/>
  <c r="M132" i="2"/>
  <c r="O131" i="2"/>
  <c r="A133" i="2"/>
  <c r="S132" i="2"/>
  <c r="T132" i="2"/>
  <c r="K132" i="2"/>
  <c r="B132" i="2"/>
  <c r="M133" i="2" l="1"/>
  <c r="L133" i="2"/>
  <c r="O132" i="2"/>
  <c r="A134" i="2"/>
  <c r="S133" i="2"/>
  <c r="K133" i="2"/>
  <c r="B133" i="2"/>
  <c r="O133" i="2"/>
  <c r="L134" i="2" l="1"/>
  <c r="M134" i="2"/>
  <c r="O134" i="2" s="1"/>
  <c r="T133" i="2"/>
  <c r="A135" i="2"/>
  <c r="S134" i="2"/>
  <c r="K134" i="2"/>
  <c r="B134" i="2"/>
  <c r="L135" i="2" l="1"/>
  <c r="M135" i="2"/>
  <c r="T134" i="2"/>
  <c r="A136" i="2"/>
  <c r="S135" i="2"/>
  <c r="K135" i="2"/>
  <c r="B135" i="2"/>
  <c r="T135" i="2"/>
  <c r="L136" i="2" l="1"/>
  <c r="M136" i="2"/>
  <c r="O135" i="2"/>
  <c r="A137" i="2"/>
  <c r="S136" i="2"/>
  <c r="K136" i="2"/>
  <c r="B136" i="2"/>
  <c r="T136" i="2"/>
  <c r="L137" i="2" l="1"/>
  <c r="M137" i="2"/>
  <c r="A138" i="2"/>
  <c r="S137" i="2"/>
  <c r="T137" i="2" s="1"/>
  <c r="O137" i="2"/>
  <c r="B137" i="2"/>
  <c r="K137" i="2"/>
  <c r="O136" i="2"/>
  <c r="L138" i="2" l="1"/>
  <c r="M138" i="2"/>
  <c r="A139" i="2"/>
  <c r="O138" i="2"/>
  <c r="S138" i="2"/>
  <c r="T138" i="2" s="1"/>
  <c r="B138" i="2"/>
  <c r="K138" i="2"/>
  <c r="L139" i="2" l="1"/>
  <c r="M139" i="2"/>
  <c r="A140" i="2"/>
  <c r="S139" i="2"/>
  <c r="T139" i="2" s="1"/>
  <c r="O139" i="2"/>
  <c r="B139" i="2"/>
  <c r="K139" i="2"/>
  <c r="M140" i="2" l="1"/>
  <c r="O140" i="2" s="1"/>
  <c r="L140" i="2"/>
  <c r="A141" i="2"/>
  <c r="S140" i="2"/>
  <c r="T140" i="2" s="1"/>
  <c r="B140" i="2"/>
  <c r="K140" i="2"/>
  <c r="M141" i="2" l="1"/>
  <c r="L141" i="2"/>
  <c r="A142" i="2"/>
  <c r="S141" i="2"/>
  <c r="T141" i="2" s="1"/>
  <c r="O141" i="2"/>
  <c r="K141" i="2"/>
  <c r="B141" i="2"/>
  <c r="M142" i="2" l="1"/>
  <c r="O142" i="2" s="1"/>
  <c r="L142" i="2"/>
  <c r="A143" i="2"/>
  <c r="S142" i="2"/>
  <c r="T142" i="2" s="1"/>
  <c r="B142" i="2"/>
  <c r="K142" i="2"/>
  <c r="M143" i="2" l="1"/>
  <c r="L143" i="2"/>
  <c r="A144" i="2"/>
  <c r="S143" i="2"/>
  <c r="T143" i="2"/>
  <c r="B143" i="2"/>
  <c r="K143" i="2"/>
  <c r="L144" i="2" l="1"/>
  <c r="M144" i="2"/>
  <c r="O143" i="2"/>
  <c r="A145" i="2"/>
  <c r="S144" i="2"/>
  <c r="T144" i="2"/>
  <c r="B144" i="2"/>
  <c r="K144" i="2"/>
  <c r="M145" i="2" l="1"/>
  <c r="L145" i="2"/>
  <c r="O144" i="2"/>
  <c r="A146" i="2"/>
  <c r="S145" i="2"/>
  <c r="T145" i="2"/>
  <c r="K145" i="2"/>
  <c r="B145" i="2"/>
  <c r="L146" i="2" l="1"/>
  <c r="M146" i="2"/>
  <c r="O145" i="2"/>
  <c r="A147" i="2"/>
  <c r="S146" i="2"/>
  <c r="K146" i="2"/>
  <c r="B146" i="2"/>
  <c r="T146" i="2"/>
  <c r="L147" i="2" l="1"/>
  <c r="M147" i="2"/>
  <c r="O146" i="2"/>
  <c r="A148" i="2"/>
  <c r="S147" i="2"/>
  <c r="K147" i="2"/>
  <c r="B147" i="2"/>
  <c r="T147" i="2"/>
  <c r="L148" i="2" l="1"/>
  <c r="M148" i="2"/>
  <c r="O147" i="2"/>
  <c r="A149" i="2"/>
  <c r="S148" i="2"/>
  <c r="K148" i="2"/>
  <c r="B148" i="2"/>
  <c r="T148" i="2"/>
  <c r="L149" i="2" l="1"/>
  <c r="M149" i="2"/>
  <c r="O148" i="2"/>
  <c r="A150" i="2"/>
  <c r="S149" i="2"/>
  <c r="T149" i="2" s="1"/>
  <c r="O149" i="2"/>
  <c r="B149" i="2"/>
  <c r="K149" i="2"/>
  <c r="L150" i="2" l="1"/>
  <c r="M150" i="2"/>
  <c r="A151" i="2"/>
  <c r="O150" i="2"/>
  <c r="S150" i="2"/>
  <c r="T150" i="2" s="1"/>
  <c r="B150" i="2"/>
  <c r="K150" i="2"/>
  <c r="L151" i="2" l="1"/>
  <c r="M151" i="2"/>
  <c r="A152" i="2"/>
  <c r="S151" i="2"/>
  <c r="T151" i="2" s="1"/>
  <c r="O151" i="2"/>
  <c r="B151" i="2"/>
  <c r="K151" i="2"/>
  <c r="M152" i="2" l="1"/>
  <c r="L152" i="2"/>
  <c r="A153" i="2"/>
  <c r="S152" i="2"/>
  <c r="T152" i="2" s="1"/>
  <c r="O152" i="2"/>
  <c r="B152" i="2"/>
  <c r="K152" i="2"/>
  <c r="M153" i="2" l="1"/>
  <c r="L153" i="2"/>
  <c r="A154" i="2"/>
  <c r="S153" i="2"/>
  <c r="T153" i="2" s="1"/>
  <c r="O153" i="2"/>
  <c r="B153" i="2"/>
  <c r="K153" i="2"/>
  <c r="M154" i="2" l="1"/>
  <c r="O154" i="2" s="1"/>
  <c r="L154" i="2"/>
  <c r="A155" i="2"/>
  <c r="S154" i="2"/>
  <c r="T154" i="2" s="1"/>
  <c r="B154" i="2"/>
  <c r="K154" i="2"/>
  <c r="M155" i="2" l="1"/>
  <c r="L155" i="2"/>
  <c r="A156" i="2"/>
  <c r="S155" i="2"/>
  <c r="T155" i="2"/>
  <c r="K155" i="2"/>
  <c r="B155" i="2"/>
  <c r="L156" i="2" l="1"/>
  <c r="M156" i="2"/>
  <c r="O155" i="2"/>
  <c r="A157" i="2"/>
  <c r="S156" i="2"/>
  <c r="O156" i="2"/>
  <c r="K156" i="2"/>
  <c r="B156" i="2"/>
  <c r="L157" i="2" l="1"/>
  <c r="M157" i="2"/>
  <c r="O157" i="2" s="1"/>
  <c r="T156" i="2"/>
  <c r="A158" i="2"/>
  <c r="S157" i="2"/>
  <c r="T157" i="2"/>
  <c r="K157" i="2"/>
  <c r="B157" i="2"/>
  <c r="L158" i="2" l="1"/>
  <c r="M158" i="2"/>
  <c r="A159" i="2"/>
  <c r="S158" i="2"/>
  <c r="T158" i="2" s="1"/>
  <c r="K158" i="2"/>
  <c r="O158" i="2"/>
  <c r="B158" i="2"/>
  <c r="L159" i="2" l="1"/>
  <c r="M159" i="2"/>
  <c r="A160" i="2"/>
  <c r="S159" i="2"/>
  <c r="K159" i="2"/>
  <c r="T159" i="2"/>
  <c r="B159" i="2"/>
  <c r="L160" i="2" l="1"/>
  <c r="M160" i="2"/>
  <c r="O159" i="2"/>
  <c r="A161" i="2"/>
  <c r="S160" i="2"/>
  <c r="T160" i="2" s="1"/>
  <c r="K160" i="2"/>
  <c r="B160" i="2"/>
  <c r="O160" i="2"/>
  <c r="L161" i="2" l="1"/>
  <c r="M161" i="2"/>
  <c r="A162" i="2"/>
  <c r="S161" i="2"/>
  <c r="T161" i="2" s="1"/>
  <c r="K161" i="2"/>
  <c r="O161" i="2"/>
  <c r="B161" i="2"/>
  <c r="L162" i="2" l="1"/>
  <c r="M162" i="2"/>
  <c r="A163" i="2"/>
  <c r="O162" i="2"/>
  <c r="S162" i="2"/>
  <c r="T162" i="2" s="1"/>
  <c r="B162" i="2"/>
  <c r="K162" i="2"/>
  <c r="L163" i="2" l="1"/>
  <c r="M163" i="2"/>
  <c r="A164" i="2"/>
  <c r="S163" i="2"/>
  <c r="T163" i="2" s="1"/>
  <c r="O163" i="2"/>
  <c r="K163" i="2"/>
  <c r="B163" i="2"/>
  <c r="M164" i="2" l="1"/>
  <c r="O164" i="2" s="1"/>
  <c r="L164" i="2"/>
  <c r="A165" i="2"/>
  <c r="S164" i="2"/>
  <c r="T164" i="2" s="1"/>
  <c r="B164" i="2"/>
  <c r="K164" i="2"/>
  <c r="M165" i="2" l="1"/>
  <c r="O165" i="2" s="1"/>
  <c r="L165" i="2"/>
  <c r="A166" i="2"/>
  <c r="S165" i="2"/>
  <c r="T165" i="2" s="1"/>
  <c r="B165" i="2"/>
  <c r="K165" i="2"/>
  <c r="M166" i="2" l="1"/>
  <c r="O166" i="2" s="1"/>
  <c r="L166" i="2"/>
  <c r="A167" i="2"/>
  <c r="S166" i="2"/>
  <c r="T166" i="2" s="1"/>
  <c r="B166" i="2"/>
  <c r="K166" i="2"/>
  <c r="M167" i="2" l="1"/>
  <c r="L167" i="2"/>
  <c r="A168" i="2"/>
  <c r="S167" i="2"/>
  <c r="O167" i="2"/>
  <c r="B167" i="2"/>
  <c r="K167" i="2"/>
  <c r="L168" i="2" l="1"/>
  <c r="M168" i="2"/>
  <c r="T167" i="2"/>
  <c r="A169" i="2"/>
  <c r="S168" i="2"/>
  <c r="T168" i="2" s="1"/>
  <c r="K168" i="2"/>
  <c r="B168" i="2"/>
  <c r="M169" i="2" l="1"/>
  <c r="L169" i="2"/>
  <c r="O168" i="2"/>
  <c r="A170" i="2"/>
  <c r="S169" i="2"/>
  <c r="T169" i="2" s="1"/>
  <c r="K169" i="2"/>
  <c r="B169" i="2"/>
  <c r="L170" i="2" l="1"/>
  <c r="M170" i="2"/>
  <c r="O169" i="2"/>
  <c r="A171" i="2"/>
  <c r="S170" i="2"/>
  <c r="T170" i="2" s="1"/>
  <c r="O170" i="2"/>
  <c r="K170" i="2"/>
  <c r="B170" i="2"/>
  <c r="L171" i="2" l="1"/>
  <c r="M171" i="2"/>
  <c r="A172" i="2"/>
  <c r="S171" i="2"/>
  <c r="T171" i="2"/>
  <c r="K171" i="2"/>
  <c r="B171" i="2"/>
  <c r="L172" i="2" l="1"/>
  <c r="M172" i="2"/>
  <c r="O171" i="2"/>
  <c r="A173" i="2"/>
  <c r="S172" i="2"/>
  <c r="T172" i="2" s="1"/>
  <c r="K172" i="2"/>
  <c r="O172" i="2"/>
  <c r="B172" i="2"/>
  <c r="L173" i="2" l="1"/>
  <c r="M173" i="2"/>
  <c r="O173" i="2" s="1"/>
  <c r="A174" i="2"/>
  <c r="S173" i="2"/>
  <c r="T173" i="2" s="1"/>
  <c r="K173" i="2"/>
  <c r="B173" i="2"/>
  <c r="L174" i="2" l="1"/>
  <c r="M174" i="2"/>
  <c r="O174" i="2" s="1"/>
  <c r="A175" i="2"/>
  <c r="S174" i="2"/>
  <c r="T174" i="2" s="1"/>
  <c r="K174" i="2"/>
  <c r="B174" i="2"/>
  <c r="L175" i="2" l="1"/>
  <c r="M175" i="2"/>
  <c r="O175" i="2" s="1"/>
  <c r="A176" i="2"/>
  <c r="S175" i="2"/>
  <c r="T175" i="2" s="1"/>
  <c r="K175" i="2"/>
  <c r="B175" i="2"/>
  <c r="M176" i="2" l="1"/>
  <c r="O176" i="2" s="1"/>
  <c r="L176" i="2"/>
  <c r="A177" i="2"/>
  <c r="S176" i="2"/>
  <c r="T176" i="2" s="1"/>
  <c r="K176" i="2"/>
  <c r="B176" i="2"/>
  <c r="M177" i="2" l="1"/>
  <c r="L177" i="2"/>
  <c r="A178" i="2"/>
  <c r="S177" i="2"/>
  <c r="T177" i="2" s="1"/>
  <c r="O177" i="2"/>
  <c r="K177" i="2"/>
  <c r="B177" i="2"/>
  <c r="M178" i="2" l="1"/>
  <c r="O178" i="2" s="1"/>
  <c r="L178" i="2"/>
  <c r="A179" i="2"/>
  <c r="S178" i="2"/>
  <c r="T178" i="2" s="1"/>
  <c r="B178" i="2"/>
  <c r="K178" i="2"/>
  <c r="M179" i="2" l="1"/>
  <c r="O179" i="2" s="1"/>
  <c r="L179" i="2"/>
  <c r="A180" i="2"/>
  <c r="S179" i="2"/>
  <c r="B179" i="2"/>
  <c r="K179" i="2"/>
  <c r="L180" i="2" l="1"/>
  <c r="M180" i="2"/>
  <c r="T179" i="2"/>
  <c r="A181" i="2"/>
  <c r="S180" i="2"/>
  <c r="O180" i="2"/>
  <c r="B180" i="2"/>
  <c r="K180" i="2"/>
  <c r="L181" i="2" l="1"/>
  <c r="M181" i="2"/>
  <c r="O181" i="2" s="1"/>
  <c r="T180" i="2"/>
  <c r="A182" i="2"/>
  <c r="S181" i="2"/>
  <c r="K181" i="2"/>
  <c r="B181" i="2"/>
  <c r="L182" i="2" l="1"/>
  <c r="M182" i="2"/>
  <c r="A183" i="2"/>
  <c r="S182" i="2"/>
  <c r="T182" i="2"/>
  <c r="K182" i="2"/>
  <c r="B182" i="2"/>
  <c r="T181" i="2"/>
  <c r="L183" i="2" l="1"/>
  <c r="M183" i="2"/>
  <c r="O182" i="2"/>
  <c r="A184" i="2"/>
  <c r="S183" i="2"/>
  <c r="T183" i="2" s="1"/>
  <c r="K183" i="2"/>
  <c r="B183" i="2"/>
  <c r="L184" i="2" l="1"/>
  <c r="M184" i="2"/>
  <c r="O183" i="2"/>
  <c r="A185" i="2"/>
  <c r="S184" i="2"/>
  <c r="T184" i="2" s="1"/>
  <c r="K184" i="2"/>
  <c r="O184" i="2"/>
  <c r="B184" i="2"/>
  <c r="L185" i="2" l="1"/>
  <c r="M185" i="2"/>
  <c r="A186" i="2"/>
  <c r="S185" i="2"/>
  <c r="T185" i="2" s="1"/>
  <c r="B185" i="2"/>
  <c r="O185" i="2"/>
  <c r="K185" i="2"/>
  <c r="L186" i="2" l="1"/>
  <c r="M186" i="2"/>
  <c r="A187" i="2"/>
  <c r="O186" i="2"/>
  <c r="S186" i="2"/>
  <c r="T186" i="2" s="1"/>
  <c r="B186" i="2"/>
  <c r="K186" i="2"/>
  <c r="L187" i="2" l="1"/>
  <c r="M187" i="2"/>
  <c r="O187" i="2" s="1"/>
  <c r="A188" i="2"/>
  <c r="S187" i="2"/>
  <c r="T187" i="2" s="1"/>
  <c r="B187" i="2"/>
  <c r="K187" i="2"/>
  <c r="M188" i="2" l="1"/>
  <c r="O188" i="2" s="1"/>
  <c r="L188" i="2"/>
  <c r="A189" i="2"/>
  <c r="S188" i="2"/>
  <c r="T188" i="2" s="1"/>
  <c r="B188" i="2"/>
  <c r="K188" i="2"/>
  <c r="M189" i="2" l="1"/>
  <c r="L189" i="2"/>
  <c r="A190" i="2"/>
  <c r="S189" i="2"/>
  <c r="T189" i="2" s="1"/>
  <c r="B189" i="2"/>
  <c r="O189" i="2"/>
  <c r="K189" i="2"/>
  <c r="M190" i="2" l="1"/>
  <c r="L190" i="2"/>
  <c r="A191" i="2"/>
  <c r="S190" i="2"/>
  <c r="T190" i="2" s="1"/>
  <c r="B190" i="2"/>
  <c r="O190" i="2"/>
  <c r="K190" i="2"/>
  <c r="M191" i="2" l="1"/>
  <c r="O191" i="2" s="1"/>
  <c r="L191" i="2"/>
  <c r="A192" i="2"/>
  <c r="S191" i="2"/>
  <c r="T191" i="2"/>
  <c r="B191" i="2"/>
  <c r="K191" i="2"/>
  <c r="L192" i="2" l="1"/>
  <c r="M192" i="2"/>
  <c r="A193" i="2"/>
  <c r="S192" i="2"/>
  <c r="T192" i="2"/>
  <c r="K192" i="2"/>
  <c r="B192" i="2"/>
  <c r="M193" i="2" l="1"/>
  <c r="L193" i="2"/>
  <c r="O192" i="2"/>
  <c r="A194" i="2"/>
  <c r="S193" i="2"/>
  <c r="T193" i="2" s="1"/>
  <c r="K193" i="2"/>
  <c r="O193" i="2"/>
  <c r="B193" i="2"/>
  <c r="L194" i="2" l="1"/>
  <c r="M194" i="2"/>
  <c r="A195" i="2"/>
  <c r="S194" i="2"/>
  <c r="K194" i="2"/>
  <c r="T194" i="2"/>
  <c r="B194" i="2"/>
  <c r="L195" i="2" l="1"/>
  <c r="M195" i="2"/>
  <c r="O194" i="2"/>
  <c r="A196" i="2"/>
  <c r="S195" i="2"/>
  <c r="K195" i="2"/>
  <c r="T195" i="2"/>
  <c r="B195" i="2"/>
  <c r="L196" i="2" l="1"/>
  <c r="M196" i="2"/>
  <c r="O195" i="2"/>
  <c r="A197" i="2"/>
  <c r="S196" i="2"/>
  <c r="K196" i="2"/>
  <c r="T196" i="2"/>
  <c r="B196" i="2"/>
  <c r="L197" i="2" l="1"/>
  <c r="M197" i="2"/>
  <c r="O196" i="2"/>
  <c r="A198" i="2"/>
  <c r="S197" i="2"/>
  <c r="T197" i="2" s="1"/>
  <c r="O197" i="2"/>
  <c r="K197" i="2"/>
  <c r="B197" i="2"/>
  <c r="L198" i="2" l="1"/>
  <c r="M198" i="2"/>
  <c r="A199" i="2"/>
  <c r="O198" i="2"/>
  <c r="S198" i="2"/>
  <c r="T198" i="2" s="1"/>
  <c r="B198" i="2"/>
  <c r="K198" i="2"/>
  <c r="L199" i="2" l="1"/>
  <c r="M199" i="2"/>
  <c r="A200" i="2"/>
  <c r="S199" i="2"/>
  <c r="T199" i="2" s="1"/>
  <c r="K199" i="2"/>
  <c r="O199" i="2"/>
  <c r="B199" i="2"/>
  <c r="M200" i="2" l="1"/>
  <c r="L200" i="2"/>
  <c r="A201" i="2"/>
  <c r="S200" i="2"/>
  <c r="T200" i="2" s="1"/>
  <c r="O200" i="2"/>
  <c r="B200" i="2"/>
  <c r="K200" i="2"/>
  <c r="M201" i="2" l="1"/>
  <c r="O201" i="2" s="1"/>
  <c r="L201" i="2"/>
  <c r="A202" i="2"/>
  <c r="S201" i="2"/>
  <c r="T201" i="2" s="1"/>
  <c r="B201" i="2"/>
  <c r="K201" i="2"/>
  <c r="M202" i="2" l="1"/>
  <c r="O202" i="2" s="1"/>
  <c r="L202" i="2"/>
  <c r="A203" i="2"/>
  <c r="S202" i="2"/>
  <c r="T202" i="2" s="1"/>
  <c r="B202" i="2"/>
  <c r="K202" i="2"/>
  <c r="M203" i="2" l="1"/>
  <c r="O203" i="2" s="1"/>
  <c r="L203" i="2"/>
  <c r="A204" i="2"/>
  <c r="S203" i="2"/>
  <c r="T203" i="2" s="1"/>
  <c r="B203" i="2"/>
  <c r="K203" i="2"/>
  <c r="L204" i="2" l="1"/>
  <c r="M204" i="2"/>
  <c r="A205" i="2"/>
  <c r="S204" i="2"/>
  <c r="O204" i="2"/>
  <c r="B204" i="2"/>
  <c r="K204" i="2"/>
  <c r="M205" i="2" l="1"/>
  <c r="L205" i="2"/>
  <c r="T204" i="2"/>
  <c r="A206" i="2"/>
  <c r="S205" i="2"/>
  <c r="K205" i="2"/>
  <c r="T205" i="2"/>
  <c r="B205" i="2"/>
  <c r="L206" i="2" l="1"/>
  <c r="M206" i="2"/>
  <c r="O205" i="2"/>
  <c r="A207" i="2"/>
  <c r="S206" i="2"/>
  <c r="K206" i="2"/>
  <c r="T206" i="2"/>
  <c r="B206" i="2"/>
  <c r="L207" i="2" l="1"/>
  <c r="M207" i="2"/>
  <c r="O207" i="2" s="1"/>
  <c r="O206" i="2"/>
  <c r="A208" i="2"/>
  <c r="S207" i="2"/>
  <c r="T207" i="2" s="1"/>
  <c r="K207" i="2"/>
  <c r="B207" i="2"/>
  <c r="L208" i="2" l="1"/>
  <c r="M208" i="2"/>
  <c r="O208" i="2" s="1"/>
  <c r="A209" i="2"/>
  <c r="S208" i="2"/>
  <c r="T208" i="2" s="1"/>
  <c r="K208" i="2"/>
  <c r="B208" i="2"/>
  <c r="L209" i="2" l="1"/>
  <c r="M209" i="2"/>
  <c r="O209" i="2" s="1"/>
  <c r="A210" i="2"/>
  <c r="S209" i="2"/>
  <c r="T209" i="2" s="1"/>
  <c r="K209" i="2"/>
  <c r="B209" i="2"/>
  <c r="L210" i="2" l="1"/>
  <c r="M210" i="2"/>
  <c r="A211" i="2"/>
  <c r="O210" i="2"/>
  <c r="S210" i="2"/>
  <c r="T210" i="2" s="1"/>
  <c r="K210" i="2"/>
  <c r="B210" i="2"/>
  <c r="L211" i="2" l="1"/>
  <c r="M211" i="2"/>
  <c r="O211" i="2" s="1"/>
  <c r="A212" i="2"/>
  <c r="S211" i="2"/>
  <c r="T211" i="2" s="1"/>
  <c r="B211" i="2"/>
  <c r="K211" i="2"/>
  <c r="M212" i="2" l="1"/>
  <c r="O212" i="2" s="1"/>
  <c r="L212" i="2"/>
  <c r="A213" i="2"/>
  <c r="S212" i="2"/>
  <c r="T212" i="2" s="1"/>
  <c r="K212" i="2"/>
  <c r="B212" i="2"/>
  <c r="L213" i="2" l="1"/>
  <c r="M213" i="2"/>
  <c r="A214" i="2"/>
  <c r="S213" i="2"/>
  <c r="T213" i="2" s="1"/>
  <c r="K213" i="2"/>
  <c r="B213" i="2"/>
  <c r="O213" i="2"/>
  <c r="M214" i="2" l="1"/>
  <c r="L214" i="2"/>
  <c r="A215" i="2"/>
  <c r="S214" i="2"/>
  <c r="T214" i="2" s="1"/>
  <c r="B214" i="2"/>
  <c r="K214" i="2"/>
  <c r="O214" i="2"/>
  <c r="M215" i="2" l="1"/>
  <c r="O215" i="2" s="1"/>
  <c r="L215" i="2"/>
  <c r="A216" i="2"/>
  <c r="S215" i="2"/>
  <c r="B215" i="2"/>
  <c r="K215" i="2"/>
  <c r="L216" i="2" l="1"/>
  <c r="M216" i="2"/>
  <c r="T215" i="2"/>
  <c r="A217" i="2"/>
  <c r="S216" i="2"/>
  <c r="T216" i="2"/>
  <c r="B216" i="2"/>
  <c r="K216" i="2"/>
  <c r="L217" i="2" l="1"/>
  <c r="M217" i="2"/>
  <c r="O216" i="2"/>
  <c r="A218" i="2"/>
  <c r="S217" i="2"/>
  <c r="K217" i="2"/>
  <c r="T217" i="2"/>
  <c r="B217" i="2"/>
  <c r="L218" i="2" l="1"/>
  <c r="M218" i="2"/>
  <c r="O218" i="2" s="1"/>
  <c r="A219" i="2"/>
  <c r="S218" i="2"/>
  <c r="K218" i="2"/>
  <c r="B218" i="2"/>
  <c r="O217" i="2"/>
  <c r="L219" i="2" l="1"/>
  <c r="M219" i="2"/>
  <c r="O219" i="2" s="1"/>
  <c r="T218" i="2"/>
  <c r="A220" i="2"/>
  <c r="S219" i="2"/>
  <c r="T219" i="2" s="1"/>
  <c r="K219" i="2"/>
  <c r="B219" i="2"/>
  <c r="L220" i="2" l="1"/>
  <c r="M220" i="2"/>
  <c r="A221" i="2"/>
  <c r="S220" i="2"/>
  <c r="K220" i="2"/>
  <c r="T220" i="2"/>
  <c r="B220" i="2"/>
  <c r="L221" i="2" l="1"/>
  <c r="M221" i="2"/>
  <c r="O220" i="2"/>
  <c r="A222" i="2"/>
  <c r="O221" i="2"/>
  <c r="S221" i="2"/>
  <c r="T221" i="2" s="1"/>
  <c r="K221" i="2"/>
  <c r="B221" i="2"/>
  <c r="L222" i="2" l="1"/>
  <c r="M222" i="2"/>
  <c r="A223" i="2"/>
  <c r="O222" i="2"/>
  <c r="S222" i="2"/>
  <c r="T222" i="2" s="1"/>
  <c r="K222" i="2"/>
  <c r="B222" i="2"/>
  <c r="L223" i="2" l="1"/>
  <c r="M223" i="2"/>
  <c r="O223" i="2" s="1"/>
  <c r="A224" i="2"/>
  <c r="S223" i="2"/>
  <c r="T223" i="2" s="1"/>
  <c r="K223" i="2"/>
  <c r="B223" i="2"/>
  <c r="M224" i="2" l="1"/>
  <c r="O224" i="2" s="1"/>
  <c r="L224" i="2"/>
  <c r="A225" i="2"/>
  <c r="S224" i="2"/>
  <c r="T224" i="2" s="1"/>
  <c r="B224" i="2"/>
  <c r="K224" i="2"/>
  <c r="M225" i="2" l="1"/>
  <c r="L225" i="2"/>
  <c r="A226" i="2"/>
  <c r="S225" i="2"/>
  <c r="T225" i="2" s="1"/>
  <c r="B225" i="2"/>
  <c r="K225" i="2"/>
  <c r="O225" i="2"/>
  <c r="M226" i="2" l="1"/>
  <c r="L226" i="2"/>
  <c r="A227" i="2"/>
  <c r="S226" i="2"/>
  <c r="T226" i="2" s="1"/>
  <c r="B226" i="2"/>
  <c r="K226" i="2"/>
  <c r="O226" i="2"/>
  <c r="M227" i="2" l="1"/>
  <c r="L227" i="2"/>
  <c r="A228" i="2"/>
  <c r="S227" i="2"/>
  <c r="K227" i="2"/>
  <c r="O227" i="2"/>
  <c r="B227" i="2"/>
  <c r="L228" i="2" l="1"/>
  <c r="M228" i="2"/>
  <c r="O228" i="2" s="1"/>
  <c r="T227" i="2"/>
  <c r="A229" i="2"/>
  <c r="S228" i="2"/>
  <c r="K228" i="2"/>
  <c r="B228" i="2"/>
  <c r="M229" i="2" l="1"/>
  <c r="L229" i="2"/>
  <c r="T228" i="2"/>
  <c r="A230" i="2"/>
  <c r="S229" i="2"/>
  <c r="K229" i="2"/>
  <c r="O229" i="2"/>
  <c r="B229" i="2"/>
  <c r="L230" i="2" l="1"/>
  <c r="M230" i="2"/>
  <c r="A231" i="2"/>
  <c r="S230" i="2"/>
  <c r="K230" i="2"/>
  <c r="T230" i="2"/>
  <c r="B230" i="2"/>
  <c r="T229" i="2"/>
  <c r="L231" i="2" l="1"/>
  <c r="M231" i="2"/>
  <c r="O230" i="2"/>
  <c r="A232" i="2"/>
  <c r="S231" i="2"/>
  <c r="K231" i="2"/>
  <c r="T231" i="2"/>
  <c r="B231" i="2"/>
  <c r="L232" i="2" l="1"/>
  <c r="M232" i="2"/>
  <c r="O231" i="2"/>
  <c r="A233" i="2"/>
  <c r="S232" i="2"/>
  <c r="K232" i="2"/>
  <c r="T232" i="2"/>
  <c r="B232" i="2"/>
  <c r="O232" i="2"/>
  <c r="L233" i="2" l="1"/>
  <c r="M233" i="2"/>
  <c r="A234" i="2"/>
  <c r="S233" i="2"/>
  <c r="T233" i="2" s="1"/>
  <c r="O233" i="2"/>
  <c r="K233" i="2"/>
  <c r="B233" i="2"/>
  <c r="L234" i="2" l="1"/>
  <c r="M234" i="2"/>
  <c r="A235" i="2"/>
  <c r="O234" i="2"/>
  <c r="S234" i="2"/>
  <c r="T234" i="2" s="1"/>
  <c r="B234" i="2"/>
  <c r="K234" i="2"/>
  <c r="L235" i="2" l="1"/>
  <c r="M235" i="2"/>
  <c r="A236" i="2"/>
  <c r="S235" i="2"/>
  <c r="T235" i="2" s="1"/>
  <c r="O235" i="2"/>
  <c r="K235" i="2"/>
  <c r="B235" i="2"/>
  <c r="M236" i="2" l="1"/>
  <c r="L236" i="2"/>
  <c r="A237" i="2"/>
  <c r="S236" i="2"/>
  <c r="T236" i="2" s="1"/>
  <c r="O236" i="2"/>
  <c r="B236" i="2"/>
  <c r="K236" i="2"/>
  <c r="L237" i="2" l="1"/>
  <c r="M237" i="2"/>
  <c r="A238" i="2"/>
  <c r="O237" i="2"/>
  <c r="S237" i="2"/>
  <c r="T237" i="2" s="1"/>
  <c r="B237" i="2"/>
  <c r="K237" i="2"/>
  <c r="M238" i="2" l="1"/>
  <c r="L238" i="2"/>
  <c r="A239" i="2"/>
  <c r="S238" i="2"/>
  <c r="T238" i="2" s="1"/>
  <c r="B238" i="2"/>
  <c r="O238" i="2"/>
  <c r="K238" i="2"/>
  <c r="M239" i="2" l="1"/>
  <c r="L239" i="2"/>
  <c r="A240" i="2"/>
  <c r="S239" i="2"/>
  <c r="T239" i="2" s="1"/>
  <c r="B239" i="2"/>
  <c r="K239" i="2"/>
  <c r="L240" i="2" l="1"/>
  <c r="M240" i="2"/>
  <c r="O239" i="2"/>
  <c r="A241" i="2"/>
  <c r="S240" i="2"/>
  <c r="T240" i="2" s="1"/>
  <c r="O240" i="2"/>
  <c r="K240" i="2"/>
  <c r="B240" i="2"/>
  <c r="L241" i="2" l="1"/>
  <c r="M241" i="2"/>
  <c r="O241" i="2" s="1"/>
  <c r="A242" i="2"/>
  <c r="S241" i="2"/>
  <c r="K241" i="2"/>
  <c r="B241" i="2"/>
  <c r="L242" i="2" l="1"/>
  <c r="M242" i="2"/>
  <c r="T241" i="2"/>
  <c r="A243" i="2"/>
  <c r="S242" i="2"/>
  <c r="K242" i="2"/>
  <c r="T242" i="2"/>
  <c r="B242" i="2"/>
  <c r="L243" i="2" l="1"/>
  <c r="M243" i="2"/>
  <c r="A244" i="2"/>
  <c r="S243" i="2"/>
  <c r="T243" i="2" s="1"/>
  <c r="K243" i="2"/>
  <c r="B243" i="2"/>
  <c r="O242" i="2"/>
  <c r="L244" i="2" l="1"/>
  <c r="M244" i="2"/>
  <c r="O243" i="2"/>
  <c r="A245" i="2"/>
  <c r="S244" i="2"/>
  <c r="K244" i="2"/>
  <c r="T244" i="2"/>
  <c r="B244" i="2"/>
  <c r="L245" i="2" l="1"/>
  <c r="M245" i="2"/>
  <c r="O244" i="2"/>
  <c r="A246" i="2"/>
  <c r="S245" i="2"/>
  <c r="T245" i="2" s="1"/>
  <c r="O245" i="2"/>
  <c r="B245" i="2"/>
  <c r="K245" i="2"/>
  <c r="L246" i="2" l="1"/>
  <c r="M246" i="2"/>
  <c r="A247" i="2"/>
  <c r="S246" i="2"/>
  <c r="T246" i="2" s="1"/>
  <c r="O246" i="2"/>
  <c r="K246" i="2"/>
  <c r="B246" i="2"/>
  <c r="L247" i="2" l="1"/>
  <c r="M247" i="2"/>
  <c r="A248" i="2"/>
  <c r="S247" i="2"/>
  <c r="T247" i="2" s="1"/>
  <c r="O247" i="2"/>
  <c r="B247" i="2"/>
  <c r="K247" i="2"/>
  <c r="M248" i="2" l="1"/>
  <c r="L248" i="2"/>
  <c r="A249" i="2"/>
  <c r="S248" i="2"/>
  <c r="T248" i="2" s="1"/>
  <c r="O248" i="2"/>
  <c r="K248" i="2"/>
  <c r="B248" i="2"/>
  <c r="M249" i="2" l="1"/>
  <c r="L249" i="2"/>
  <c r="A250" i="2"/>
  <c r="S249" i="2"/>
  <c r="T249" i="2" s="1"/>
  <c r="O249" i="2"/>
  <c r="K249" i="2"/>
  <c r="B249" i="2"/>
  <c r="M250" i="2" l="1"/>
  <c r="L250" i="2"/>
  <c r="A251" i="2"/>
  <c r="S250" i="2"/>
  <c r="T250" i="2" s="1"/>
  <c r="B250" i="2"/>
  <c r="O250" i="2"/>
  <c r="K250" i="2"/>
  <c r="M251" i="2" l="1"/>
  <c r="L251" i="2"/>
  <c r="A252" i="2"/>
  <c r="S251" i="2"/>
  <c r="T251" i="2" s="1"/>
  <c r="O251" i="2"/>
  <c r="B251" i="2"/>
  <c r="K251" i="2"/>
  <c r="L252" i="2" l="1"/>
  <c r="M252" i="2"/>
  <c r="A253" i="2"/>
  <c r="S252" i="2"/>
  <c r="T252" i="2"/>
  <c r="B252" i="2"/>
  <c r="K252" i="2"/>
  <c r="M253" i="2" l="1"/>
  <c r="L253" i="2"/>
  <c r="O252" i="2"/>
  <c r="A254" i="2"/>
  <c r="S253" i="2"/>
  <c r="K253" i="2"/>
  <c r="B253" i="2"/>
  <c r="T253" i="2"/>
  <c r="L254" i="2" l="1"/>
  <c r="M254" i="2"/>
  <c r="O253" i="2"/>
  <c r="A255" i="2"/>
  <c r="S254" i="2"/>
  <c r="K254" i="2"/>
  <c r="B254" i="2"/>
  <c r="T254" i="2"/>
  <c r="L255" i="2" l="1"/>
  <c r="M255" i="2"/>
  <c r="O254" i="2"/>
  <c r="A256" i="2"/>
  <c r="S255" i="2"/>
  <c r="K255" i="2"/>
  <c r="B255" i="2"/>
  <c r="T255" i="2"/>
  <c r="L256" i="2" l="1"/>
  <c r="M256" i="2"/>
  <c r="O255" i="2"/>
  <c r="A257" i="2"/>
  <c r="S256" i="2"/>
  <c r="K256" i="2"/>
  <c r="B256" i="2"/>
  <c r="T256" i="2"/>
  <c r="L257" i="2" l="1"/>
  <c r="M257" i="2"/>
  <c r="O256" i="2"/>
  <c r="A258" i="2"/>
  <c r="S257" i="2"/>
  <c r="T257" i="2" s="1"/>
  <c r="O257" i="2"/>
  <c r="B257" i="2"/>
  <c r="K257" i="2"/>
  <c r="L258" i="2" l="1"/>
  <c r="M258" i="2"/>
  <c r="A259" i="2"/>
  <c r="O258" i="2"/>
  <c r="S258" i="2"/>
  <c r="T258" i="2" s="1"/>
  <c r="B258" i="2"/>
  <c r="K258" i="2"/>
  <c r="L259" i="2" l="1"/>
  <c r="M259" i="2"/>
  <c r="A260" i="2"/>
  <c r="S259" i="2"/>
  <c r="T259" i="2" s="1"/>
  <c r="O259" i="2"/>
  <c r="B259" i="2"/>
  <c r="K259" i="2"/>
  <c r="M260" i="2" l="1"/>
  <c r="L260" i="2"/>
  <c r="A261" i="2"/>
  <c r="S260" i="2"/>
  <c r="T260" i="2" s="1"/>
  <c r="O260" i="2"/>
  <c r="B260" i="2"/>
  <c r="K260" i="2"/>
  <c r="L261" i="2" l="1"/>
  <c r="M261" i="2"/>
  <c r="A262" i="2"/>
  <c r="S261" i="2"/>
  <c r="T261" i="2" s="1"/>
  <c r="O261" i="2"/>
  <c r="K261" i="2"/>
  <c r="B261" i="2"/>
  <c r="M262" i="2" l="1"/>
  <c r="L262" i="2"/>
  <c r="A263" i="2"/>
  <c r="S262" i="2"/>
  <c r="T262" i="2" s="1"/>
  <c r="B262" i="2"/>
  <c r="O262" i="2"/>
  <c r="K262" i="2"/>
  <c r="M263" i="2" l="1"/>
  <c r="L263" i="2"/>
  <c r="A264" i="2"/>
  <c r="S263" i="2"/>
  <c r="O263" i="2"/>
  <c r="K263" i="2"/>
  <c r="B263" i="2"/>
  <c r="L264" i="2" l="1"/>
  <c r="M264" i="2"/>
  <c r="T263" i="2"/>
  <c r="A265" i="2"/>
  <c r="S264" i="2"/>
  <c r="T264" i="2"/>
  <c r="K264" i="2"/>
  <c r="B264" i="2"/>
  <c r="M265" i="2" l="1"/>
  <c r="L265" i="2"/>
  <c r="O264" i="2"/>
  <c r="A266" i="2"/>
  <c r="S265" i="2"/>
  <c r="O265" i="2"/>
  <c r="K265" i="2"/>
  <c r="B265" i="2"/>
  <c r="L266" i="2" l="1"/>
  <c r="M266" i="2"/>
  <c r="T265" i="2"/>
  <c r="A267" i="2"/>
  <c r="S266" i="2"/>
  <c r="T266" i="2"/>
  <c r="K266" i="2"/>
  <c r="B266" i="2"/>
  <c r="L267" i="2" l="1"/>
  <c r="M267" i="2"/>
  <c r="O266" i="2"/>
  <c r="A268" i="2"/>
  <c r="S267" i="2"/>
  <c r="K267" i="2"/>
  <c r="B267" i="2"/>
  <c r="T267" i="2"/>
  <c r="L268" i="2" l="1"/>
  <c r="M268" i="2"/>
  <c r="O267" i="2"/>
  <c r="A269" i="2"/>
  <c r="S268" i="2"/>
  <c r="K268" i="2"/>
  <c r="B268" i="2"/>
  <c r="T268" i="2"/>
  <c r="L269" i="2" l="1"/>
  <c r="M269" i="2"/>
  <c r="O268" i="2"/>
  <c r="A270" i="2"/>
  <c r="S269" i="2"/>
  <c r="T269" i="2" s="1"/>
  <c r="K269" i="2"/>
  <c r="B269" i="2"/>
  <c r="O269" i="2"/>
  <c r="L270" i="2" l="1"/>
  <c r="M270" i="2"/>
  <c r="A271" i="2"/>
  <c r="O270" i="2"/>
  <c r="B270" i="2"/>
  <c r="S270" i="2"/>
  <c r="T270" i="2" s="1"/>
  <c r="K270" i="2"/>
  <c r="L271" i="2" l="1"/>
  <c r="M271" i="2"/>
  <c r="A272" i="2"/>
  <c r="S271" i="2"/>
  <c r="T271" i="2" s="1"/>
  <c r="B271" i="2"/>
  <c r="K271" i="2"/>
  <c r="O271" i="2"/>
  <c r="M272" i="2" l="1"/>
  <c r="O272" i="2" s="1"/>
  <c r="L272" i="2"/>
  <c r="A273" i="2"/>
  <c r="S272" i="2"/>
  <c r="T272" i="2" s="1"/>
  <c r="B272" i="2"/>
  <c r="K272" i="2"/>
  <c r="M273" i="2" l="1"/>
  <c r="L273" i="2"/>
  <c r="A274" i="2"/>
  <c r="O273" i="2"/>
  <c r="S273" i="2"/>
  <c r="T273" i="2" s="1"/>
  <c r="B273" i="2"/>
  <c r="K273" i="2"/>
  <c r="M274" i="2" l="1"/>
  <c r="L274" i="2"/>
  <c r="A275" i="2"/>
  <c r="S274" i="2"/>
  <c r="T274" i="2" s="1"/>
  <c r="B274" i="2"/>
  <c r="O274" i="2"/>
  <c r="K274" i="2"/>
  <c r="M275" i="2" l="1"/>
  <c r="L275" i="2"/>
  <c r="A276" i="2"/>
  <c r="S275" i="2"/>
  <c r="O275" i="2"/>
  <c r="K275" i="2"/>
  <c r="B275" i="2"/>
  <c r="L276" i="2" l="1"/>
  <c r="M276" i="2"/>
  <c r="T275" i="2"/>
  <c r="A277" i="2"/>
  <c r="S276" i="2"/>
  <c r="O276" i="2"/>
  <c r="T276" i="2"/>
  <c r="K276" i="2"/>
  <c r="B276" i="2"/>
  <c r="L277" i="2" l="1"/>
  <c r="M277" i="2"/>
  <c r="A278" i="2"/>
  <c r="S277" i="2"/>
  <c r="T277" i="2"/>
  <c r="K277" i="2"/>
  <c r="B277" i="2"/>
  <c r="L278" i="2" l="1"/>
  <c r="M278" i="2"/>
  <c r="O277" i="2"/>
  <c r="A279" i="2"/>
  <c r="S278" i="2"/>
  <c r="T278" i="2"/>
  <c r="K278" i="2"/>
  <c r="B278" i="2"/>
  <c r="L279" i="2" l="1"/>
  <c r="M279" i="2"/>
  <c r="O278" i="2"/>
  <c r="A280" i="2"/>
  <c r="S279" i="2"/>
  <c r="T279" i="2" s="1"/>
  <c r="O279" i="2"/>
  <c r="K279" i="2"/>
  <c r="B279" i="2"/>
  <c r="L280" i="2" l="1"/>
  <c r="M280" i="2"/>
  <c r="O280" i="2" s="1"/>
  <c r="A281" i="2"/>
  <c r="S280" i="2"/>
  <c r="K280" i="2"/>
  <c r="B280" i="2"/>
  <c r="L281" i="2" l="1"/>
  <c r="M281" i="2"/>
  <c r="O281" i="2" s="1"/>
  <c r="T280" i="2"/>
  <c r="A282" i="2"/>
  <c r="S281" i="2"/>
  <c r="T281" i="2" s="1"/>
  <c r="B281" i="2"/>
  <c r="K281" i="2"/>
  <c r="L282" i="2" l="1"/>
  <c r="M282" i="2"/>
  <c r="O282" i="2" s="1"/>
  <c r="A283" i="2"/>
  <c r="S282" i="2"/>
  <c r="T282" i="2" s="1"/>
  <c r="B282" i="2"/>
  <c r="K282" i="2"/>
  <c r="L283" i="2" l="1"/>
  <c r="M283" i="2"/>
  <c r="A284" i="2"/>
  <c r="S283" i="2"/>
  <c r="T283" i="2" s="1"/>
  <c r="B283" i="2"/>
  <c r="K283" i="2"/>
  <c r="O283" i="2"/>
  <c r="M284" i="2" l="1"/>
  <c r="L284" i="2"/>
  <c r="A285" i="2"/>
  <c r="S284" i="2"/>
  <c r="T284" i="2" s="1"/>
  <c r="B284" i="2"/>
  <c r="K284" i="2"/>
  <c r="O284" i="2"/>
  <c r="M285" i="2" l="1"/>
  <c r="L285" i="2"/>
  <c r="A286" i="2"/>
  <c r="S285" i="2"/>
  <c r="T285" i="2" s="1"/>
  <c r="K285" i="2"/>
  <c r="O285" i="2"/>
  <c r="B285" i="2"/>
  <c r="M286" i="2" l="1"/>
  <c r="O286" i="2" s="1"/>
  <c r="L286" i="2"/>
  <c r="A287" i="2"/>
  <c r="S286" i="2"/>
  <c r="T286" i="2" s="1"/>
  <c r="B286" i="2"/>
  <c r="K286" i="2"/>
  <c r="M287" i="2" l="1"/>
  <c r="L287" i="2"/>
  <c r="A288" i="2"/>
  <c r="S287" i="2"/>
  <c r="O287" i="2"/>
  <c r="B287" i="2"/>
  <c r="K287" i="2"/>
  <c r="L288" i="2" l="1"/>
  <c r="M288" i="2"/>
  <c r="T287" i="2"/>
  <c r="A289" i="2"/>
  <c r="S288" i="2"/>
  <c r="T288" i="2"/>
  <c r="K288" i="2"/>
  <c r="B288" i="2"/>
  <c r="M289" i="2" l="1"/>
  <c r="L289" i="2"/>
  <c r="O288" i="2"/>
  <c r="A290" i="2"/>
  <c r="S289" i="2"/>
  <c r="O289" i="2"/>
  <c r="K289" i="2"/>
  <c r="B289" i="2"/>
  <c r="L290" i="2" l="1"/>
  <c r="M290" i="2"/>
  <c r="T289" i="2"/>
  <c r="A291" i="2"/>
  <c r="S290" i="2"/>
  <c r="T290" i="2" s="1"/>
  <c r="O290" i="2"/>
  <c r="K290" i="2"/>
  <c r="B290" i="2"/>
  <c r="L291" i="2" l="1"/>
  <c r="M291" i="2"/>
  <c r="O291" i="2" s="1"/>
  <c r="A292" i="2"/>
  <c r="S291" i="2"/>
  <c r="T291" i="2"/>
  <c r="K291" i="2"/>
  <c r="B291" i="2"/>
  <c r="L292" i="2" l="1"/>
  <c r="M292" i="2"/>
  <c r="O292" i="2" s="1"/>
  <c r="A293" i="2"/>
  <c r="S292" i="2"/>
  <c r="T292" i="2" s="1"/>
  <c r="K292" i="2"/>
  <c r="B292" i="2"/>
  <c r="L293" i="2" l="1"/>
  <c r="M293" i="2"/>
  <c r="A294" i="2"/>
  <c r="S293" i="2"/>
  <c r="T293" i="2" s="1"/>
  <c r="O293" i="2"/>
  <c r="B293" i="2"/>
  <c r="K293" i="2"/>
  <c r="L294" i="2" l="1"/>
  <c r="M294" i="2"/>
  <c r="A295" i="2"/>
  <c r="O294" i="2"/>
  <c r="S294" i="2"/>
  <c r="T294" i="2" s="1"/>
  <c r="B294" i="2"/>
  <c r="K294" i="2"/>
  <c r="L295" i="2" l="1"/>
  <c r="M295" i="2"/>
  <c r="A296" i="2"/>
  <c r="S295" i="2"/>
  <c r="T295" i="2" s="1"/>
  <c r="O295" i="2"/>
  <c r="B295" i="2"/>
  <c r="K295" i="2"/>
  <c r="M296" i="2" l="1"/>
  <c r="L296" i="2"/>
  <c r="A297" i="2"/>
  <c r="O296" i="2"/>
  <c r="S296" i="2"/>
  <c r="T296" i="2" s="1"/>
  <c r="B296" i="2"/>
  <c r="K296" i="2"/>
  <c r="M297" i="2" l="1"/>
  <c r="L297" i="2"/>
  <c r="A298" i="2"/>
  <c r="O297" i="2"/>
  <c r="S297" i="2"/>
  <c r="T297" i="2" s="1"/>
  <c r="K297" i="2"/>
  <c r="B297" i="2"/>
  <c r="M298" i="2" l="1"/>
  <c r="O298" i="2" s="1"/>
  <c r="L298" i="2"/>
  <c r="A299" i="2"/>
  <c r="S298" i="2"/>
  <c r="T298" i="2" s="1"/>
  <c r="B298" i="2"/>
  <c r="K298" i="2"/>
  <c r="M299" i="2" l="1"/>
  <c r="L299" i="2"/>
  <c r="A300" i="2"/>
  <c r="S299" i="2"/>
  <c r="T299" i="2"/>
  <c r="O299" i="2"/>
  <c r="K299" i="2"/>
  <c r="B299" i="2"/>
  <c r="L300" i="2" l="1"/>
  <c r="M300" i="2"/>
  <c r="O300" i="2" s="1"/>
  <c r="A301" i="2"/>
  <c r="S300" i="2"/>
  <c r="T300" i="2"/>
  <c r="K300" i="2"/>
  <c r="B300" i="2"/>
  <c r="M301" i="2" l="1"/>
  <c r="L301" i="2"/>
  <c r="A302" i="2"/>
  <c r="S301" i="2"/>
  <c r="T301" i="2"/>
  <c r="O301" i="2"/>
  <c r="K301" i="2"/>
  <c r="B301" i="2"/>
  <c r="L302" i="2" l="1"/>
  <c r="M302" i="2"/>
  <c r="A303" i="2"/>
  <c r="S302" i="2"/>
  <c r="T302" i="2" s="1"/>
  <c r="K302" i="2"/>
  <c r="B302" i="2"/>
  <c r="L303" i="2" l="1"/>
  <c r="M303" i="2"/>
  <c r="O302" i="2"/>
  <c r="A304" i="2"/>
  <c r="S303" i="2"/>
  <c r="T303" i="2"/>
  <c r="K303" i="2"/>
  <c r="B303" i="2"/>
  <c r="L304" i="2" l="1"/>
  <c r="M304" i="2"/>
  <c r="O303" i="2"/>
  <c r="A305" i="2"/>
  <c r="S304" i="2"/>
  <c r="T304" i="2" s="1"/>
  <c r="K304" i="2"/>
  <c r="O304" i="2"/>
  <c r="B304" i="2"/>
  <c r="L305" i="2" l="1"/>
  <c r="M305" i="2"/>
  <c r="A306" i="2"/>
  <c r="S305" i="2"/>
  <c r="T305" i="2" s="1"/>
  <c r="K305" i="2"/>
  <c r="B305" i="2"/>
  <c r="O305" i="2"/>
  <c r="L306" i="2" l="1"/>
  <c r="M306" i="2"/>
  <c r="A307" i="2"/>
  <c r="O306" i="2"/>
  <c r="S306" i="2"/>
  <c r="T306" i="2" s="1"/>
  <c r="K306" i="2"/>
  <c r="B306" i="2"/>
  <c r="L307" i="2" l="1"/>
  <c r="M307" i="2"/>
  <c r="A308" i="2"/>
  <c r="S307" i="2"/>
  <c r="T307" i="2" s="1"/>
  <c r="K307" i="2"/>
  <c r="B307" i="2"/>
  <c r="O307" i="2"/>
  <c r="M308" i="2" l="1"/>
  <c r="O308" i="2" s="1"/>
  <c r="L308" i="2"/>
  <c r="A309" i="2"/>
  <c r="S308" i="2"/>
  <c r="T308" i="2" s="1"/>
  <c r="K308" i="2"/>
  <c r="B308" i="2"/>
  <c r="L309" i="2" l="1"/>
  <c r="M309" i="2"/>
  <c r="A310" i="2"/>
  <c r="S309" i="2"/>
  <c r="T309" i="2" s="1"/>
  <c r="O309" i="2"/>
  <c r="K309" i="2"/>
  <c r="B309" i="2"/>
  <c r="M310" i="2" l="1"/>
  <c r="O310" i="2" s="1"/>
  <c r="L310" i="2"/>
  <c r="A311" i="2"/>
  <c r="S310" i="2"/>
  <c r="T310" i="2" s="1"/>
  <c r="B310" i="2"/>
  <c r="K310" i="2"/>
  <c r="M311" i="2" l="1"/>
  <c r="L311" i="2"/>
  <c r="A312" i="2"/>
  <c r="S311" i="2"/>
  <c r="O311" i="2"/>
  <c r="B311" i="2"/>
  <c r="K311" i="2"/>
  <c r="L312" i="2" l="1"/>
  <c r="M312" i="2"/>
  <c r="T311" i="2"/>
  <c r="A313" i="2"/>
  <c r="S312" i="2"/>
  <c r="T312" i="2"/>
  <c r="K312" i="2"/>
  <c r="B312" i="2"/>
  <c r="M313" i="2" l="1"/>
  <c r="L313" i="2"/>
  <c r="O312" i="2"/>
  <c r="A314" i="2"/>
  <c r="S313" i="2"/>
  <c r="T313" i="2" s="1"/>
  <c r="O313" i="2"/>
  <c r="K313" i="2"/>
  <c r="B313" i="2"/>
  <c r="L314" i="2" l="1"/>
  <c r="M314" i="2"/>
  <c r="A315" i="2"/>
  <c r="S314" i="2"/>
  <c r="T314" i="2"/>
  <c r="K314" i="2"/>
  <c r="B314" i="2"/>
  <c r="L315" i="2" l="1"/>
  <c r="M315" i="2"/>
  <c r="O315" i="2" s="1"/>
  <c r="O314" i="2"/>
  <c r="A316" i="2"/>
  <c r="S315" i="2"/>
  <c r="T315" i="2"/>
  <c r="K315" i="2"/>
  <c r="B315" i="2"/>
  <c r="L316" i="2" l="1"/>
  <c r="M316" i="2"/>
  <c r="A317" i="2"/>
  <c r="S316" i="2"/>
  <c r="K316" i="2"/>
  <c r="T316" i="2"/>
  <c r="B316" i="2"/>
  <c r="L317" i="2" l="1"/>
  <c r="M317" i="2"/>
  <c r="O316" i="2"/>
  <c r="A318" i="2"/>
  <c r="S317" i="2"/>
  <c r="T317" i="2" s="1"/>
  <c r="O317" i="2"/>
  <c r="B317" i="2"/>
  <c r="K317" i="2"/>
  <c r="L318" i="2" l="1"/>
  <c r="M318" i="2"/>
  <c r="A319" i="2"/>
  <c r="O318" i="2"/>
  <c r="S318" i="2"/>
  <c r="T318" i="2" s="1"/>
  <c r="B318" i="2"/>
  <c r="K318" i="2"/>
  <c r="L319" i="2" l="1"/>
  <c r="M319" i="2"/>
  <c r="A320" i="2"/>
  <c r="S319" i="2"/>
  <c r="T319" i="2" s="1"/>
  <c r="O319" i="2"/>
  <c r="B319" i="2"/>
  <c r="K319" i="2"/>
  <c r="M320" i="2" l="1"/>
  <c r="O320" i="2" s="1"/>
  <c r="L320" i="2"/>
  <c r="A321" i="2"/>
  <c r="S320" i="2"/>
  <c r="T320" i="2" s="1"/>
  <c r="B320" i="2"/>
  <c r="K320" i="2"/>
  <c r="M321" i="2" l="1"/>
  <c r="L321" i="2"/>
  <c r="A322" i="2"/>
  <c r="S321" i="2"/>
  <c r="T321" i="2" s="1"/>
  <c r="O321" i="2"/>
  <c r="K321" i="2"/>
  <c r="B321" i="2"/>
  <c r="M322" i="2" l="1"/>
  <c r="L322" i="2"/>
  <c r="A323" i="2"/>
  <c r="S322" i="2"/>
  <c r="T322" i="2" s="1"/>
  <c r="B322" i="2"/>
  <c r="K322" i="2"/>
  <c r="O322" i="2"/>
  <c r="M323" i="2" l="1"/>
  <c r="L323" i="2"/>
  <c r="A324" i="2"/>
  <c r="S323" i="2"/>
  <c r="B323" i="2"/>
  <c r="K323" i="2"/>
  <c r="T323" i="2"/>
  <c r="L324" i="2" l="1"/>
  <c r="M324" i="2"/>
  <c r="O323" i="2"/>
  <c r="A325" i="2"/>
  <c r="S324" i="2"/>
  <c r="O324" i="2"/>
  <c r="B324" i="2"/>
  <c r="K324" i="2"/>
  <c r="L325" i="2" l="1"/>
  <c r="M325" i="2"/>
  <c r="O325" i="2" s="1"/>
  <c r="T324" i="2"/>
  <c r="A326" i="2"/>
  <c r="S325" i="2"/>
  <c r="T325" i="2"/>
  <c r="K325" i="2"/>
  <c r="B325" i="2"/>
  <c r="L326" i="2" l="1"/>
  <c r="M326" i="2"/>
  <c r="A327" i="2"/>
  <c r="S326" i="2"/>
  <c r="T326" i="2" s="1"/>
  <c r="O326" i="2"/>
  <c r="K326" i="2"/>
  <c r="B326" i="2"/>
  <c r="L327" i="2" l="1"/>
  <c r="M327" i="2"/>
  <c r="A328" i="2"/>
  <c r="S327" i="2"/>
  <c r="T327" i="2"/>
  <c r="K327" i="2"/>
  <c r="O327" i="2"/>
  <c r="B327" i="2"/>
  <c r="L328" i="2" l="1"/>
  <c r="M328" i="2"/>
  <c r="A329" i="2"/>
  <c r="S328" i="2"/>
  <c r="K328" i="2"/>
  <c r="T328" i="2"/>
  <c r="B328" i="2"/>
  <c r="L329" i="2" l="1"/>
  <c r="M329" i="2"/>
  <c r="O328" i="2"/>
  <c r="A330" i="2"/>
  <c r="S329" i="2"/>
  <c r="T329" i="2" s="1"/>
  <c r="K329" i="2"/>
  <c r="O329" i="2"/>
  <c r="B329" i="2"/>
  <c r="L330" i="2" l="1"/>
  <c r="M330" i="2"/>
  <c r="A331" i="2"/>
  <c r="O330" i="2"/>
  <c r="S330" i="2"/>
  <c r="T330" i="2" s="1"/>
  <c r="K330" i="2"/>
  <c r="B330" i="2"/>
  <c r="L331" i="2" l="1"/>
  <c r="M331" i="2"/>
  <c r="O331" i="2" s="1"/>
  <c r="A332" i="2"/>
  <c r="S331" i="2"/>
  <c r="T331" i="2" s="1"/>
  <c r="K331" i="2"/>
  <c r="B331" i="2"/>
  <c r="M332" i="2" l="1"/>
  <c r="L332" i="2"/>
  <c r="A333" i="2"/>
  <c r="S332" i="2"/>
  <c r="T332" i="2" s="1"/>
  <c r="O332" i="2"/>
  <c r="K332" i="2"/>
  <c r="B332" i="2"/>
  <c r="M333" i="2" l="1"/>
  <c r="L333" i="2"/>
  <c r="A334" i="2"/>
  <c r="S333" i="2"/>
  <c r="T333" i="2" s="1"/>
  <c r="O333" i="2"/>
  <c r="K333" i="2"/>
  <c r="B333" i="2"/>
  <c r="M334" i="2" l="1"/>
  <c r="L334" i="2"/>
  <c r="A335" i="2"/>
  <c r="S334" i="2"/>
  <c r="T334" i="2" s="1"/>
  <c r="B334" i="2"/>
  <c r="O334" i="2"/>
  <c r="K334" i="2"/>
  <c r="M335" i="2" l="1"/>
  <c r="L335" i="2"/>
  <c r="A336" i="2"/>
  <c r="S335" i="2"/>
  <c r="T335" i="2" s="1"/>
  <c r="B335" i="2"/>
  <c r="K335" i="2"/>
  <c r="L336" i="2" l="1"/>
  <c r="M336" i="2"/>
  <c r="O335" i="2"/>
  <c r="A337" i="2"/>
  <c r="S336" i="2"/>
  <c r="T336" i="2"/>
  <c r="O336" i="2"/>
  <c r="B336" i="2"/>
  <c r="K336" i="2"/>
  <c r="M337" i="2" l="1"/>
  <c r="L337" i="2"/>
  <c r="A338" i="2"/>
  <c r="S337" i="2"/>
  <c r="T337" i="2"/>
  <c r="K337" i="2"/>
  <c r="O337" i="2"/>
  <c r="B337" i="2"/>
  <c r="L338" i="2" l="1"/>
  <c r="M338" i="2"/>
  <c r="A339" i="2"/>
  <c r="S338" i="2"/>
  <c r="T338" i="2" s="1"/>
  <c r="K338" i="2"/>
  <c r="O338" i="2"/>
  <c r="B338" i="2"/>
  <c r="L339" i="2" l="1"/>
  <c r="M339" i="2"/>
  <c r="O339" i="2" s="1"/>
  <c r="A340" i="2"/>
  <c r="S339" i="2"/>
  <c r="T339" i="2"/>
  <c r="K339" i="2"/>
  <c r="B339" i="2"/>
  <c r="L340" i="2" l="1"/>
  <c r="M340" i="2"/>
  <c r="A341" i="2"/>
  <c r="S340" i="2"/>
  <c r="K340" i="2"/>
  <c r="T340" i="2"/>
  <c r="B340" i="2"/>
  <c r="L341" i="2" l="1"/>
  <c r="M341" i="2"/>
  <c r="O340" i="2"/>
  <c r="A342" i="2"/>
  <c r="S341" i="2"/>
  <c r="T341" i="2" s="1"/>
  <c r="O341" i="2"/>
  <c r="B341" i="2"/>
  <c r="K341" i="2"/>
  <c r="L342" i="2" l="1"/>
  <c r="M342" i="2"/>
  <c r="O342" i="2" s="1"/>
  <c r="A343" i="2"/>
  <c r="S342" i="2"/>
  <c r="T342" i="2" s="1"/>
  <c r="B342" i="2"/>
  <c r="K342" i="2"/>
  <c r="L343" i="2" l="1"/>
  <c r="M343" i="2"/>
  <c r="A344" i="2"/>
  <c r="S343" i="2"/>
  <c r="T343" i="2" s="1"/>
  <c r="O343" i="2"/>
  <c r="B343" i="2"/>
  <c r="K343" i="2"/>
  <c r="M344" i="2" l="1"/>
  <c r="O344" i="2" s="1"/>
  <c r="L344" i="2"/>
  <c r="A345" i="2"/>
  <c r="S344" i="2"/>
  <c r="T344" i="2" s="1"/>
  <c r="B344" i="2"/>
  <c r="K344" i="2"/>
  <c r="M345" i="2" l="1"/>
  <c r="L345" i="2"/>
  <c r="A346" i="2"/>
  <c r="S345" i="2"/>
  <c r="T345" i="2" s="1"/>
  <c r="K345" i="2"/>
  <c r="O345" i="2"/>
  <c r="B345" i="2"/>
  <c r="M346" i="2" l="1"/>
  <c r="L346" i="2"/>
  <c r="A347" i="2"/>
  <c r="S346" i="2"/>
  <c r="T346" i="2" s="1"/>
  <c r="B346" i="2"/>
  <c r="K346" i="2"/>
  <c r="O346" i="2"/>
  <c r="M347" i="2" l="1"/>
  <c r="O347" i="2" s="1"/>
  <c r="L347" i="2"/>
  <c r="A348" i="2"/>
  <c r="S347" i="2"/>
  <c r="B347" i="2"/>
  <c r="K347" i="2"/>
  <c r="L348" i="2" l="1"/>
  <c r="M348" i="2"/>
  <c r="T347" i="2"/>
  <c r="A349" i="2"/>
  <c r="S348" i="2"/>
  <c r="T348" i="2"/>
  <c r="O348" i="2"/>
  <c r="B348" i="2"/>
  <c r="K348" i="2"/>
  <c r="M349" i="2" l="1"/>
  <c r="L349" i="2"/>
  <c r="A350" i="2"/>
  <c r="S349" i="2"/>
  <c r="T349" i="2" s="1"/>
  <c r="K349" i="2"/>
  <c r="B349" i="2"/>
  <c r="L350" i="2" l="1"/>
  <c r="M350" i="2"/>
  <c r="O349" i="2"/>
  <c r="A351" i="2"/>
  <c r="S350" i="2"/>
  <c r="T350" i="2"/>
  <c r="K350" i="2"/>
  <c r="B350" i="2"/>
  <c r="L351" i="2" l="1"/>
  <c r="M351" i="2"/>
  <c r="O350" i="2"/>
  <c r="A352" i="2"/>
  <c r="S351" i="2"/>
  <c r="T351" i="2"/>
  <c r="K351" i="2"/>
  <c r="B351" i="2"/>
  <c r="L352" i="2" l="1"/>
  <c r="M352" i="2"/>
  <c r="O351" i="2"/>
  <c r="A353" i="2"/>
  <c r="S352" i="2"/>
  <c r="K352" i="2"/>
  <c r="T352" i="2"/>
  <c r="B352" i="2"/>
  <c r="L353" i="2" l="1"/>
  <c r="M353" i="2"/>
  <c r="O352" i="2"/>
  <c r="A354" i="2"/>
  <c r="S353" i="2"/>
  <c r="T353" i="2" s="1"/>
  <c r="O353" i="2"/>
  <c r="K353" i="2"/>
  <c r="B353" i="2"/>
  <c r="L354" i="2" l="1"/>
  <c r="M354" i="2"/>
  <c r="A355" i="2"/>
  <c r="S354" i="2"/>
  <c r="K354" i="2"/>
  <c r="B354" i="2"/>
  <c r="O354" i="2" l="1"/>
  <c r="T354" i="2"/>
  <c r="L355" i="2"/>
  <c r="M355" i="2"/>
  <c r="O355" i="2" s="1"/>
  <c r="A356" i="2"/>
  <c r="K355" i="2"/>
  <c r="S355" i="2"/>
  <c r="T355" i="2" s="1"/>
  <c r="B355" i="2"/>
  <c r="M356" i="2" l="1"/>
  <c r="L356" i="2"/>
  <c r="A357" i="2"/>
  <c r="O356" i="2"/>
  <c r="S356" i="2"/>
  <c r="T356" i="2" s="1"/>
  <c r="K356" i="2"/>
  <c r="B356" i="2"/>
  <c r="M357" i="2" l="1"/>
  <c r="L357" i="2"/>
  <c r="A358" i="2"/>
  <c r="S357" i="2"/>
  <c r="T357" i="2" s="1"/>
  <c r="O357" i="2"/>
  <c r="K357" i="2"/>
  <c r="B357" i="2"/>
  <c r="M358" i="2" l="1"/>
  <c r="O358" i="2" s="1"/>
  <c r="L358" i="2"/>
  <c r="A359" i="2"/>
  <c r="S358" i="2"/>
  <c r="B358" i="2"/>
  <c r="K358" i="2"/>
  <c r="T358" i="2" l="1"/>
  <c r="M359" i="2"/>
  <c r="L359" i="2"/>
  <c r="A360" i="2"/>
  <c r="S359" i="2"/>
  <c r="T359" i="2"/>
  <c r="B359" i="2"/>
  <c r="K359" i="2"/>
  <c r="L360" i="2" l="1"/>
  <c r="M360" i="2"/>
  <c r="O359" i="2"/>
  <c r="A361" i="2"/>
  <c r="S360" i="2"/>
  <c r="T360" i="2"/>
  <c r="B360" i="2"/>
  <c r="K360" i="2"/>
  <c r="L361" i="2" l="1"/>
  <c r="M361" i="2"/>
  <c r="O360" i="2"/>
  <c r="A362" i="2"/>
  <c r="S361" i="2"/>
  <c r="T361" i="2" s="1"/>
  <c r="K361" i="2"/>
  <c r="O361" i="2"/>
  <c r="B361" i="2"/>
  <c r="L362" i="2" l="1"/>
  <c r="M362" i="2"/>
  <c r="A363" i="2"/>
  <c r="S362" i="2"/>
  <c r="T362" i="2"/>
  <c r="K362" i="2"/>
  <c r="B362" i="2"/>
  <c r="L363" i="2" l="1"/>
  <c r="M363" i="2"/>
  <c r="O362" i="2"/>
  <c r="A364" i="2"/>
  <c r="S363" i="2"/>
  <c r="T363" i="2"/>
  <c r="K363" i="2"/>
  <c r="O363" i="2"/>
  <c r="B363" i="2"/>
  <c r="L364" i="2" l="1"/>
  <c r="M364" i="2"/>
  <c r="A365" i="2"/>
  <c r="S364" i="2"/>
  <c r="T364" i="2" s="1"/>
  <c r="O364" i="2"/>
  <c r="K364" i="2"/>
  <c r="B364" i="2"/>
  <c r="L365" i="2" l="1"/>
  <c r="M365" i="2"/>
  <c r="O365" i="2" s="1"/>
  <c r="A366" i="2"/>
  <c r="S365" i="2"/>
  <c r="T365" i="2" s="1"/>
  <c r="B365" i="2"/>
  <c r="K365" i="2"/>
  <c r="L366" i="2" l="1"/>
  <c r="M366" i="2"/>
  <c r="A367" i="2"/>
  <c r="O366" i="2"/>
  <c r="S366" i="2"/>
  <c r="T366" i="2" s="1"/>
  <c r="K366" i="2"/>
  <c r="B366" i="2"/>
  <c r="L367" i="2" l="1"/>
  <c r="M367" i="2"/>
  <c r="O367" i="2" s="1"/>
  <c r="A368" i="2"/>
  <c r="S367" i="2"/>
  <c r="T367" i="2" s="1"/>
  <c r="K367" i="2"/>
  <c r="B367" i="2"/>
  <c r="M368" i="2" l="1"/>
  <c r="O368" i="2" s="1"/>
  <c r="L368" i="2"/>
  <c r="A369" i="2"/>
  <c r="S368" i="2"/>
  <c r="T368" i="2" s="1"/>
  <c r="K368" i="2"/>
  <c r="B368" i="2"/>
  <c r="M369" i="2" l="1"/>
  <c r="O369" i="2" s="1"/>
  <c r="L369" i="2"/>
  <c r="A370" i="2"/>
  <c r="S369" i="2"/>
  <c r="T369" i="2" s="1"/>
  <c r="K369" i="2"/>
  <c r="B369" i="2"/>
  <c r="M370" i="2" l="1"/>
  <c r="L370" i="2"/>
  <c r="D14" i="1"/>
  <c r="D13" i="1"/>
  <c r="D20" i="1"/>
  <c r="D16" i="1"/>
  <c r="C16" i="1"/>
  <c r="B17" i="1"/>
  <c r="D18" i="1"/>
  <c r="D21" i="1"/>
  <c r="D23" i="1"/>
  <c r="C19" i="1"/>
  <c r="C14" i="1"/>
  <c r="D17" i="1"/>
  <c r="B16" i="1"/>
  <c r="D22" i="1"/>
  <c r="D15" i="1"/>
  <c r="D19" i="1"/>
  <c r="D24" i="1"/>
  <c r="T370" i="2"/>
  <c r="O370" i="2"/>
  <c r="S370" i="2"/>
  <c r="B370" i="2"/>
  <c r="K370" i="2"/>
  <c r="B8" i="5" l="1"/>
  <c r="C8" i="5"/>
  <c r="D8" i="5"/>
  <c r="E8" i="5"/>
  <c r="B5" i="5"/>
  <c r="C5" i="5"/>
  <c r="D5" i="5"/>
  <c r="E5" i="5"/>
  <c r="B3" i="5"/>
  <c r="C3" i="5"/>
  <c r="D3" i="5"/>
  <c r="E3" i="5"/>
  <c r="D25" i="1"/>
  <c r="B13" i="1"/>
  <c r="A5" i="1"/>
  <c r="B14" i="1"/>
  <c r="B15" i="1"/>
  <c r="B18" i="1"/>
  <c r="B19" i="1"/>
  <c r="B20" i="1"/>
  <c r="B21" i="1"/>
  <c r="B22" i="1"/>
  <c r="B23" i="1"/>
  <c r="B24" i="1"/>
  <c r="C13" i="1"/>
  <c r="C15" i="1"/>
  <c r="C17" i="1"/>
  <c r="C18" i="1"/>
  <c r="C20" i="1"/>
  <c r="C21" i="1"/>
  <c r="C22" i="1"/>
  <c r="C23" i="1"/>
  <c r="C24" i="1"/>
  <c r="D5" i="1"/>
  <c r="G5" i="1" s="1"/>
  <c r="E13" i="1"/>
  <c r="E11" i="4" s="1"/>
  <c r="E14" i="1"/>
  <c r="E15" i="1"/>
  <c r="E16" i="1"/>
  <c r="E17" i="1"/>
  <c r="E18" i="1"/>
  <c r="E19" i="1"/>
  <c r="E20" i="1"/>
  <c r="E21" i="1"/>
  <c r="E22" i="1"/>
  <c r="E23" i="1"/>
  <c r="E21" i="4" s="1"/>
  <c r="G21" i="4" s="1"/>
  <c r="E24" i="1"/>
  <c r="E22" i="4" s="1"/>
  <c r="G22" i="4" s="1"/>
  <c r="G13" i="1"/>
  <c r="J5" i="1"/>
  <c r="G14" i="1"/>
  <c r="G15" i="1"/>
  <c r="G16" i="1"/>
  <c r="G17" i="1"/>
  <c r="G18" i="1"/>
  <c r="G19" i="1"/>
  <c r="G20" i="1"/>
  <c r="G21" i="1"/>
  <c r="G22" i="1"/>
  <c r="G23" i="1"/>
  <c r="G24" i="1"/>
  <c r="F15" i="1" l="1"/>
  <c r="E13" i="4"/>
  <c r="G13" i="4" s="1"/>
  <c r="F14" i="1"/>
  <c r="E12" i="4"/>
  <c r="G12" i="4" s="1"/>
  <c r="G11" i="4"/>
  <c r="B13" i="5"/>
  <c r="C13" i="5"/>
  <c r="D13" i="5"/>
  <c r="E13" i="5"/>
  <c r="B12" i="5"/>
  <c r="C12" i="5"/>
  <c r="D12" i="5"/>
  <c r="E12" i="5"/>
  <c r="F21" i="1"/>
  <c r="E19" i="4"/>
  <c r="G19" i="4" s="1"/>
  <c r="B11" i="5"/>
  <c r="C11" i="5"/>
  <c r="D11" i="5"/>
  <c r="E11" i="5"/>
  <c r="F20" i="1"/>
  <c r="E18" i="4"/>
  <c r="G18" i="4" s="1"/>
  <c r="C10" i="5"/>
  <c r="D10" i="5"/>
  <c r="E10" i="5"/>
  <c r="B10" i="5"/>
  <c r="F19" i="1"/>
  <c r="E17" i="4"/>
  <c r="G17" i="4" s="1"/>
  <c r="B9" i="5"/>
  <c r="C9" i="5"/>
  <c r="D9" i="5"/>
  <c r="E9" i="5"/>
  <c r="F22" i="1"/>
  <c r="E20" i="4"/>
  <c r="G20" i="4" s="1"/>
  <c r="F18" i="1"/>
  <c r="E16" i="4"/>
  <c r="G16" i="4" s="1"/>
  <c r="C7" i="5"/>
  <c r="D7" i="5"/>
  <c r="E7" i="5"/>
  <c r="B7" i="5"/>
  <c r="F17" i="1"/>
  <c r="E15" i="4"/>
  <c r="G15" i="4" s="1"/>
  <c r="B6" i="5"/>
  <c r="C6" i="5"/>
  <c r="D6" i="5"/>
  <c r="E6" i="5"/>
  <c r="C4" i="5"/>
  <c r="D4" i="5"/>
  <c r="E4" i="5"/>
  <c r="B4" i="5"/>
  <c r="F16" i="1"/>
  <c r="E14" i="4"/>
  <c r="G14" i="4" s="1"/>
  <c r="B2" i="5"/>
  <c r="C2" i="5"/>
  <c r="D2" i="5"/>
  <c r="E2" i="5"/>
  <c r="F24" i="1"/>
  <c r="F23" i="1"/>
  <c r="B25" i="1"/>
  <c r="C25" i="1"/>
  <c r="F13" i="1"/>
  <c r="E25" i="1"/>
  <c r="F25" i="1" s="1"/>
  <c r="G25" i="1"/>
  <c r="E23" i="4" l="1"/>
  <c r="G23" i="4"/>
</calcChain>
</file>

<file path=xl/sharedStrings.xml><?xml version="1.0" encoding="utf-8"?>
<sst xmlns="http://schemas.openxmlformats.org/spreadsheetml/2006/main" count="298" uniqueCount="256">
  <si>
    <t>MENÚ Y ESTRUCTURA DE COSTOS</t>
  </si>
  <si>
    <t>Edite únicamente las celdas amarillas. Los costos y márgenes se recalculan automáticamente.</t>
  </si>
  <si>
    <t>PRODUCTO</t>
  </si>
  <si>
    <t>COSTO INSUMOS</t>
  </si>
  <si>
    <t>EXTRA / PAPAS</t>
  </si>
  <si>
    <t>COSTO OPERATIVO UNIT.</t>
  </si>
  <si>
    <t>COSTO TOTAL</t>
  </si>
  <si>
    <t>PRECIO VENTA</t>
  </si>
  <si>
    <t>UTILIDAD UNITARIA</t>
  </si>
  <si>
    <t>MARGEN CONTRIB.</t>
  </si>
  <si>
    <t>MARKUP</t>
  </si>
  <si>
    <t>KEBAB</t>
  </si>
  <si>
    <t>COMBO N1</t>
  </si>
  <si>
    <t>COMBO N2</t>
  </si>
  <si>
    <t>BOX COMUN</t>
  </si>
  <si>
    <t>BOX XL</t>
  </si>
  <si>
    <t>PREMIUM</t>
  </si>
  <si>
    <t>TOPPINGS</t>
  </si>
  <si>
    <t>PAPA FRITAS</t>
  </si>
  <si>
    <t>CIERRES DE CAJA — REGISTRO DIARIO</t>
  </si>
  <si>
    <t>Complete cantidades, gastos y medios de cobro. Las columnas azules se calculan automáticamente.</t>
  </si>
  <si>
    <t>FECHA</t>
  </si>
  <si>
    <t>MES</t>
  </si>
  <si>
    <t>TOTAL UNIDADES</t>
  </si>
  <si>
    <t>VENTA TOTAL</t>
  </si>
  <si>
    <t>GASTOS</t>
  </si>
  <si>
    <t>GANANCIA NETA</t>
  </si>
  <si>
    <t>EFECTIVO</t>
  </si>
  <si>
    <t>TRANSFERENCIA</t>
  </si>
  <si>
    <t>MERCADO PAGO</t>
  </si>
  <si>
    <t>TOTAL COBRADO</t>
  </si>
  <si>
    <t>DIFERENCIA CAJA</t>
  </si>
  <si>
    <t>OBSERVACIONES</t>
  </si>
  <si>
    <t>TABLERO DE CONTROL FINANCIERO</t>
  </si>
  <si>
    <t>AÑO</t>
  </si>
  <si>
    <t>Cambie el año para actualizar todo el modelo</t>
  </si>
  <si>
    <t>MARGEN NETO</t>
  </si>
  <si>
    <t>RESULTADOS MENSUALES</t>
  </si>
  <si>
    <t>VENTAS</t>
  </si>
  <si>
    <t>COSTOS</t>
  </si>
  <si>
    <t>GANANCIA</t>
  </si>
  <si>
    <t>MARGEN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</si>
  <si>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</si>
  <si>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</si>
  <si>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</si>
  <si>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</si>
  <si>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</si>
  <si>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</si>
  <si>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</si>
  <si>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</si>
  <si>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</si>
  <si>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</si>
  <si>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</si>
  <si>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</si>
  <si>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</si>
  <si>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RENDIMIENTO POR PRODUCTO</t>
  </si>
  <si>
    <t>UNIDADES</t>
  </si>
  <si>
    <t>MIX VENTAS</t>
  </si>
  <si>
    <t>VENTAS ANUALES (ARS)</t>
  </si>
  <si>
    <t>GANANCIA NETA (ARS)</t>
  </si>
  <si>
    <t>DIFERENCIA DE CAJA (ARS)</t>
  </si>
  <si>
    <t>VENTAS (ARS)</t>
  </si>
  <si>
    <t>COSTOS (ARS)</t>
  </si>
  <si>
    <t>GASTOS (ARS)</t>
  </si>
  <si>
    <t>GANANCIA (ARS)</t>
  </si>
  <si>
    <t>DIF. CAJA (ARS)</t>
  </si>
  <si>
    <t>UTILIDAD BRUTA (ARS)</t>
  </si>
  <si>
    <t>ESTADO</t>
  </si>
  <si>
    <t>METAS Y CONTROL DEL NEGOCIO</t>
  </si>
  <si>
    <t>Las celdas amarillas son supuestos editables; el resto se actualiza desde el registro diario.</t>
  </si>
  <si>
    <t>CRECIMIENTO OBJETIVO</t>
  </si>
  <si>
    <t>MARGEN NETO OBJETIVO</t>
  </si>
  <si>
    <t>TOLERANCIA DE CAJA (ARS)</t>
  </si>
  <si>
    <t>GASTOS FIJOS MENSUALES</t>
  </si>
  <si>
    <t>CUMPLIMIENTO</t>
  </si>
  <si>
    <t>TOTAL / PROMEDIO</t>
  </si>
  <si>
    <t>CIERRES A REVISAR</t>
  </si>
  <si>
    <t>PORTAFOLIO</t>
  </si>
  <si>
    <t>MEDIOS DE COBRO</t>
  </si>
  <si>
    <t>MEDIO</t>
  </si>
  <si>
    <t>MONTO (ARS)</t>
  </si>
  <si>
    <t>PARTICIPACIÓN</t>
  </si>
  <si>
    <t>CONTROL OPERATIVO</t>
  </si>
  <si>
    <t>DÍAS CON VENTAS</t>
  </si>
  <si>
    <t>VENTA PROMEDIO / DÍA</t>
  </si>
  <si>
    <t>UNIDADES VENDIDAS</t>
  </si>
  <si>
    <t>DÍAS SIN MOVIMIENTO</t>
  </si>
  <si>
    <t>METAS Y PROYECCIÓN</t>
  </si>
  <si>
    <t>META ANUAL VENTAS</t>
  </si>
  <si>
    <t>CUMPLIMIENTO ANUAL</t>
  </si>
  <si>
    <t>PROYECCIÓN ANUAL</t>
  </si>
  <si>
    <t>PUNTO EQUILIBRIO MENSUAL</t>
  </si>
  <si>
    <t>VENTAS REALES (ARS)</t>
  </si>
  <si>
    <t>META VENTAS (ARS)</t>
  </si>
  <si>
    <t>GANANCIA REAL (ARS)</t>
  </si>
  <si>
    <t>META GANANCIA (ARS)</t>
  </si>
  <si>
    <t>BRECHA GANANCIA (ARS)</t>
  </si>
  <si>
    <t>PUNTO EQUILIBRIO (ARS)</t>
  </si>
  <si>
    <t>GUÍA Y REPORTE DEL SISTEMA</t>
  </si>
  <si>
    <t>Manual práctico para cargar datos, controlar la caja y leer los resultados del negocio</t>
  </si>
  <si>
    <t>ESTADO ACTUAL — se actualiza automáticamente</t>
  </si>
  <si>
    <t>AÑO DEL MODELO</t>
  </si>
  <si>
    <t>VENTAS ACUMULADAS</t>
  </si>
  <si>
    <t>ORDEN RECOMENDADO DE USO</t>
  </si>
  <si>
    <t>PASO</t>
  </si>
  <si>
    <t>QUÉ HACER</t>
  </si>
  <si>
    <t>HOJA</t>
  </si>
  <si>
    <t>RESULTADO</t>
  </si>
  <si>
    <t>1. Configurar menú</t>
  </si>
  <si>
    <t>Actualizar costos, extras, costo operativo y precios cuando cambien.</t>
  </si>
  <si>
    <t>Menu Productos</t>
  </si>
  <si>
    <t>Costos, utilidad y márgenes correctos.</t>
  </si>
  <si>
    <t>2. Definir objetivos</t>
  </si>
  <si>
    <t>Revisar crecimiento, margen objetivo, tolerancia de caja y gastos fijos.</t>
  </si>
  <si>
    <t>Metas y Control</t>
  </si>
  <si>
    <t>Metas y punto de equilibrio actualizados.</t>
  </si>
  <si>
    <t>3. Registrar el día</t>
  </si>
  <si>
    <t>Cargar cantidades vendidas, gastos, cobros y observaciones.</t>
  </si>
  <si>
    <t>Registro Diario</t>
  </si>
  <si>
    <t>Cierre diario completo y validado.</t>
  </si>
  <si>
    <t>4. Analizar</t>
  </si>
  <si>
    <t>Revisar ventas, ganancia, productos, medios de cobro y alertas.</t>
  </si>
  <si>
    <t>Dashboard</t>
  </si>
  <si>
    <t>Decisiones con información consolidada.</t>
  </si>
  <si>
    <t>MAPA DE HOJAS</t>
  </si>
  <si>
    <t>FUNCIÓN</t>
  </si>
  <si>
    <t>QUÉ SE EDITA</t>
  </si>
  <si>
    <t>FRECUENCIA</t>
  </si>
  <si>
    <t>Resume el año, los meses, productos, cobros y controles.</t>
  </si>
  <si>
    <t>Solo el año en B2.</t>
  </si>
  <si>
    <t>Consulta diaria/semanal</t>
  </si>
  <si>
    <t>Registra cada cierre y calcula venta, costo, ganancia y diferencia de caja.</t>
  </si>
  <si>
    <t>Cantidades, gastos, cobros y observaciones.</t>
  </si>
  <si>
    <t>Todos los días</t>
  </si>
  <si>
    <t>Define la economía unitaria de cada producto.</t>
  </si>
  <si>
    <t>Costos base, extras, costo operativo y precio.</t>
  </si>
  <si>
    <t>Cuando cambien precios/costos</t>
  </si>
  <si>
    <t>Compara resultados reales contra objetivos y calcula brechas.</t>
  </si>
  <si>
    <t>Crecimiento, margen, tolerancia y gastos fijos.</t>
  </si>
  <si>
    <t>Mensual</t>
  </si>
  <si>
    <t>Chart Data</t>
  </si>
  <si>
    <t>Alimenta el gráfico de evolución mensual.</t>
  </si>
  <si>
    <t>Nada: es una hoja técnica oculta.</t>
  </si>
  <si>
    <t>Automática</t>
  </si>
  <si>
    <t>CÓMO HACER EL CIERRE DIARIO</t>
  </si>
  <si>
    <t>ORDEN</t>
  </si>
  <si>
    <t>CAMPO</t>
  </si>
  <si>
    <t>QUÉ CARGAR</t>
  </si>
  <si>
    <t>CONTROL</t>
  </si>
  <si>
    <t>Productos (C:J)</t>
  </si>
  <si>
    <t>Unidades vendidas de cada producto.</t>
  </si>
  <si>
    <t>TOTAL UNIDADES se calcula solo.</t>
  </si>
  <si>
    <t>GASTOS (N)</t>
  </si>
  <si>
    <t>Egresos pagados durante el día.</t>
  </si>
  <si>
    <t>Reducen la ganancia y el importe esperado en caja.</t>
  </si>
  <si>
    <t>EFECTIVO / TRANSFERENCIA / MERCADO PAGO (P:R)</t>
  </si>
  <si>
    <t>Monto realmente cobrado por cada medio.</t>
  </si>
  <si>
    <t>TOTAL COBRADO se suma automáticamente.</t>
  </si>
  <si>
    <t>OBSERVACIONES (U)</t>
  </si>
  <si>
    <t>Aclaraciones de faltantes, devoluciones o movimientos especiales.</t>
  </si>
  <si>
    <t>Ayuda a justificar diferencias.</t>
  </si>
  <si>
    <t>ESTADO (V)</t>
  </si>
  <si>
    <t>No se carga: revisar el resultado automático.</t>
  </si>
  <si>
    <t>OK = cierre correcto; REVISAR CAJA = existe diferencia.</t>
  </si>
  <si>
    <t>No editar</t>
  </si>
  <si>
    <t>FECHA, MES, K:O, S:T y V</t>
  </si>
  <si>
    <t>Son columnas calculadas por el sistema.</t>
  </si>
  <si>
    <t>Modificar fórmulas rompe el reporte.</t>
  </si>
  <si>
    <t>CÁLCULOS CLAVE DEL SISTEMA</t>
  </si>
  <si>
    <t>INDICADOR</t>
  </si>
  <si>
    <t>CÁLCULO</t>
  </si>
  <si>
    <t>QUÉ SIGNIFICA</t>
  </si>
  <si>
    <t>USO</t>
  </si>
  <si>
    <t>Venta total</t>
  </si>
  <si>
    <t>Unidades × precio de venta, sumado por producto.</t>
  </si>
  <si>
    <t>Facturación teórica del día.</t>
  </si>
  <si>
    <t>Control comercial</t>
  </si>
  <si>
    <t>Costo total</t>
  </si>
  <si>
    <t>Unidades × costo total unitario.</t>
  </si>
  <si>
    <t>Costo asociado a lo vendido.</t>
  </si>
  <si>
    <t>Rentabilidad</t>
  </si>
  <si>
    <t>Ganancia neta</t>
  </si>
  <si>
    <t>Venta total − costo total − gastos.</t>
  </si>
  <si>
    <t>Resultado después de costos y gastos diarios.</t>
  </si>
  <si>
    <t>Decisión financiera</t>
  </si>
  <si>
    <t>Total cobrado</t>
  </si>
  <si>
    <t>Efectivo + transferencia + Mercado Pago.</t>
  </si>
  <si>
    <t>Dinero informado en el cierre.</t>
  </si>
  <si>
    <t>Conciliación</t>
  </si>
  <si>
    <t>Diferencia de caja</t>
  </si>
  <si>
    <t>Total cobrado − (venta total − gastos).</t>
  </si>
  <si>
    <t>Cero o dentro de la tolerancia indica cierre correcto.</t>
  </si>
  <si>
    <t>Detección de errores</t>
  </si>
  <si>
    <t>Margen neto</t>
  </si>
  <si>
    <t>Ganancia neta ÷ ventas.</t>
  </si>
  <si>
    <t>Porcentaje de cada peso vendido que queda como ganancia.</t>
  </si>
  <si>
    <t>Seguimiento de desempeño</t>
  </si>
  <si>
    <t>ESTADOS Y ALERTAS</t>
  </si>
  <si>
    <t>CUÁNDO APARECE</t>
  </si>
  <si>
    <t>ACCIÓN RECOMENDADA</t>
  </si>
  <si>
    <t>PRIORIDAD</t>
  </si>
  <si>
    <t>OK</t>
  </si>
  <si>
    <t>La diferencia está dentro de la tolerancia definida.</t>
  </si>
  <si>
    <t>Cerrar el día y conservar comprobantes.</t>
  </si>
  <si>
    <t>Normal</t>
  </si>
  <si>
    <t>REVISAR CAJA</t>
  </si>
  <si>
    <t>La diferencia supera la tolerancia.</t>
  </si>
  <si>
    <t>Revisar cobros, gastos, cantidades y observaciones.</t>
  </si>
  <si>
    <t>Alta</t>
  </si>
  <si>
    <t>SIN MOVIMIENTO</t>
  </si>
  <si>
    <t>No hay unidades, gastos ni cobros.</t>
  </si>
  <si>
    <t>Confirmar que el local no operó ese día.</t>
  </si>
  <si>
    <t>Baja</t>
  </si>
  <si>
    <t>FUTURO</t>
  </si>
  <si>
    <t>La fecha todavía no ocurrió.</t>
  </si>
  <si>
    <t>No cargar información anticipada.</t>
  </si>
  <si>
    <t>Informativa</t>
  </si>
  <si>
    <t>METAS Y LECTURA DEL TABLERO</t>
  </si>
  <si>
    <t>DÓNDE MIRAR</t>
  </si>
  <si>
    <t>INTERPRETACIÓN</t>
  </si>
  <si>
    <t>DECISIÓN</t>
  </si>
  <si>
    <t>Cumplimiento mensual</t>
  </si>
  <si>
    <t>Metas y Control — columna D</t>
  </si>
  <si>
    <t>Ventas reales ÷ meta de ventas.</t>
  </si>
  <si>
    <t>Ajustar volumen, precio o promoción.</t>
  </si>
  <si>
    <t>Brecha de ganancia</t>
  </si>
  <si>
    <t>Metas y Control — columna G</t>
  </si>
  <si>
    <t>Ganancia real menos ganancia objetivo.</t>
  </si>
  <si>
    <t>Corregir costos, gastos o mix.</t>
  </si>
  <si>
    <t>Rendimiento por producto</t>
  </si>
  <si>
    <t>Dashboard — filas 31:38</t>
  </si>
  <si>
    <t>Mix de ventas, utilidad y margen por producto.</t>
  </si>
  <si>
    <t>Priorizar productos rentables.</t>
  </si>
  <si>
    <t>Punto de equilibrio</t>
  </si>
  <si>
    <t>Metas y Control — columna H</t>
  </si>
  <si>
    <t>Ventas necesarias para cubrir gastos fijos.</t>
  </si>
  <si>
    <t>Definir mínimo mensual de venta.</t>
  </si>
  <si>
    <t>BUENAS PRÁCTICAS Y SOLUCIÓN RÁPIDA</t>
  </si>
  <si>
    <t>SITUACIÓN</t>
  </si>
  <si>
    <t>QUÉ REVISAR</t>
  </si>
  <si>
    <t>SOLUCIÓN</t>
  </si>
  <si>
    <t>Cambió un precio o costo</t>
  </si>
  <si>
    <t>Actualizar primero el menú; los reportes se recalculan.</t>
  </si>
  <si>
    <t>La caja no cierra</t>
  </si>
  <si>
    <t>Registro Diario — P:R, N y C:J</t>
  </si>
  <si>
    <t>Comparar medios de cobro, gastos y unidades con comprobantes.</t>
  </si>
  <si>
    <t>La meta parece incorrecta</t>
  </si>
  <si>
    <t>Metas y Control — B4:B7</t>
  </si>
  <si>
    <t>Validar supuestos y que existan meses con ventas reales.</t>
  </si>
  <si>
    <t>El tablero muestra cero</t>
  </si>
  <si>
    <t>Confirmar que las cantidades y los cobros estén cargados en la fecha correcta.</t>
  </si>
  <si>
    <t>Antes de cerrar el mes</t>
  </si>
  <si>
    <t>Dashboard y Metas y Control</t>
  </si>
  <si>
    <t>Resolver alertas, revisar márgenes y documentar diferencias.</t>
  </si>
  <si>
    <t>Flujo del sistema: Menú + Metas → Registro Diario → Cálculos automáticos → Dashboard y control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</si>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</sst>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%"/>
    <numFmt numFmtId="166" formatCode="dd/mm/yyyy"/>
    <numFmt numFmtId="168" formatCode="&quot;XDR&quot;\ #,##0"/>
    <numFmt numFmtId="169" formatCode="#,##0\ &quot;ARS&quot;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"/>
    </font>
    <font>
      <b/>
      <sz val="11"/>
      <color rgb="FFFFFFFF"/>
      <name val="Aptos"/>
    </font>
    <font>
      <b/>
      <sz val="20"/>
      <color rgb="FFFFFFFF"/>
      <name val="Aptos"/>
    </font>
    <font>
      <b/>
      <sz val="11"/>
      <color theme="1"/>
      <name val="Aptos"/>
    </font>
    <font>
      <b/>
      <sz val="19"/>
      <color theme="1"/>
      <name val="Aptos"/>
    </font>
    <font>
      <b/>
      <sz val="18"/>
      <color rgb="FFFFFFFF"/>
      <name val="Aptos"/>
    </font>
    <font>
      <sz val="11"/>
      <color rgb="FF526777"/>
      <name val="Aptos"/>
    </font>
    <font>
      <sz val="11"/>
      <color rgb="FF17324D"/>
      <name val="Aptos"/>
    </font>
    <font>
      <b/>
      <sz val="24"/>
      <color rgb="FFC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theme="1"/>
      <name val="Aptos"/>
    </font>
    <font>
      <b/>
      <sz val="10"/>
      <color rgb="FFFFFFFF"/>
      <name val="Aptos"/>
    </font>
    <font>
      <i/>
      <sz val="10"/>
      <color rgb="FF435466"/>
      <name val="Aptos"/>
    </font>
    <font>
      <b/>
      <sz val="12"/>
      <color rgb="FFFFFFFF"/>
      <name val="Aptos"/>
    </font>
    <font>
      <b/>
      <sz val="10"/>
      <color rgb="FF1F4E4D"/>
      <name val="Aptos"/>
    </font>
    <font>
      <b/>
      <sz val="18"/>
      <color rgb="FF16324F"/>
      <name val="Aptos"/>
    </font>
  </fonts>
  <fills count="20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4F8F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6E6D"/>
        <bgColor indexed="64"/>
      </patternFill>
    </fill>
    <fill>
      <patternFill patternType="solid">
        <fgColor rgb="FFDDEBEA"/>
        <bgColor indexed="64"/>
      </patternFill>
    </fill>
    <fill>
      <patternFill patternType="solid">
        <fgColor rgb="FFF4F8F8"/>
        <bgColor indexed="64"/>
      </patternFill>
    </fill>
    <fill>
      <patternFill patternType="solid">
        <fgColor rgb="FFD9A441"/>
        <bgColor indexed="64"/>
      </patternFill>
    </fill>
    <fill>
      <patternFill patternType="solid">
        <fgColor rgb="FFF5F7F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1E8"/>
      </bottom>
      <diagonal/>
    </border>
  </borders>
  <cellStyleXfs count="1">
    <xf numFmtId="0" fontId="0" fillId="0" borderId="0"/>
  </cellStyleXfs>
  <cellXfs count="72">
    <xf numFmtId="0" fontId="0" fillId="0" borderId="0" xfId="0"/>
    <xf numFmtId="165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0" borderId="0" xfId="0" applyFont="1"/>
    <xf numFmtId="165" fontId="2" fillId="0" borderId="0" xfId="0" applyNumberFormat="1" applyFont="1"/>
    <xf numFmtId="1" fontId="2" fillId="0" borderId="0" xfId="0" applyNumberFormat="1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/>
    <xf numFmtId="0" fontId="2" fillId="4" borderId="0" xfId="0" applyFont="1" applyFill="1"/>
    <xf numFmtId="0" fontId="5" fillId="4" borderId="0" xfId="0" applyFont="1" applyFill="1"/>
    <xf numFmtId="0" fontId="3" fillId="5" borderId="0" xfId="0" applyFont="1" applyFill="1"/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3" fillId="5" borderId="0" xfId="0" applyFont="1" applyFill="1" applyBorder="1"/>
    <xf numFmtId="0" fontId="3" fillId="5" borderId="0" xfId="0" applyFont="1" applyFill="1"/>
    <xf numFmtId="0" fontId="5" fillId="7" borderId="0" xfId="0" applyFont="1" applyFill="1"/>
    <xf numFmtId="165" fontId="5" fillId="7" borderId="0" xfId="0" applyNumberFormat="1" applyFont="1" applyFill="1"/>
    <xf numFmtId="1" fontId="5" fillId="7" borderId="0" xfId="0" applyNumberFormat="1" applyFont="1" applyFill="1"/>
    <xf numFmtId="0" fontId="7" fillId="2" borderId="0" xfId="0" applyFont="1" applyFill="1"/>
    <xf numFmtId="0" fontId="8" fillId="0" borderId="0" xfId="0" applyFont="1"/>
    <xf numFmtId="1" fontId="2" fillId="4" borderId="0" xfId="0" applyNumberFormat="1" applyFont="1" applyFill="1"/>
    <xf numFmtId="166" fontId="2" fillId="8" borderId="0" xfId="0" applyNumberFormat="1" applyFont="1" applyFill="1"/>
    <xf numFmtId="0" fontId="2" fillId="8" borderId="0" xfId="0" applyFont="1" applyFill="1"/>
    <xf numFmtId="1" fontId="2" fillId="3" borderId="0" xfId="0" applyNumberFormat="1" applyFont="1" applyFill="1"/>
    <xf numFmtId="38" fontId="2" fillId="3" borderId="0" xfId="0" applyNumberFormat="1" applyFont="1" applyFill="1"/>
    <xf numFmtId="38" fontId="2" fillId="4" borderId="0" xfId="0" applyNumberFormat="1" applyFont="1" applyFill="1"/>
    <xf numFmtId="38" fontId="6" fillId="6" borderId="0" xfId="0" applyNumberFormat="1" applyFont="1" applyFill="1" applyAlignment="1">
      <alignment horizontal="center" vertical="center"/>
    </xf>
    <xf numFmtId="38" fontId="2" fillId="0" borderId="0" xfId="0" applyNumberFormat="1" applyFont="1"/>
    <xf numFmtId="38" fontId="5" fillId="7" borderId="0" xfId="0" applyNumberFormat="1" applyFont="1" applyFill="1"/>
    <xf numFmtId="38" fontId="0" fillId="0" borderId="0" xfId="0" applyNumberFormat="1"/>
    <xf numFmtId="0" fontId="7" fillId="9" borderId="0" xfId="0" applyFont="1" applyFill="1"/>
    <xf numFmtId="0" fontId="9" fillId="10" borderId="0" xfId="0" applyFont="1" applyFill="1"/>
    <xf numFmtId="0" fontId="3" fillId="9" borderId="0" xfId="0" applyFont="1" applyFill="1"/>
    <xf numFmtId="165" fontId="5" fillId="4" borderId="0" xfId="0" applyNumberFormat="1" applyFont="1" applyFill="1"/>
    <xf numFmtId="0" fontId="3" fillId="9" borderId="0" xfId="0" applyFont="1" applyFill="1" applyBorder="1" applyAlignment="1">
      <alignment horizontal="center"/>
    </xf>
    <xf numFmtId="0" fontId="10" fillId="11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/>
    </xf>
    <xf numFmtId="0" fontId="11" fillId="12" borderId="0" xfId="0" applyFont="1" applyFill="1"/>
    <xf numFmtId="0" fontId="1" fillId="10" borderId="0" xfId="0" applyFont="1" applyFill="1"/>
    <xf numFmtId="38" fontId="1" fillId="10" borderId="0" xfId="0" applyNumberFormat="1" applyFont="1" applyFill="1"/>
    <xf numFmtId="0" fontId="1" fillId="13" borderId="0" xfId="0" applyFont="1" applyFill="1"/>
    <xf numFmtId="165" fontId="1" fillId="10" borderId="0" xfId="0" applyNumberFormat="1" applyFont="1" applyFill="1"/>
    <xf numFmtId="165" fontId="1" fillId="13" borderId="0" xfId="0" applyNumberFormat="1" applyFont="1" applyFill="1"/>
    <xf numFmtId="0" fontId="3" fillId="12" borderId="0" xfId="0" applyFont="1" applyFill="1"/>
    <xf numFmtId="38" fontId="2" fillId="10" borderId="0" xfId="0" applyNumberFormat="1" applyFont="1" applyFill="1"/>
    <xf numFmtId="165" fontId="2" fillId="10" borderId="0" xfId="0" applyNumberFormat="1" applyFont="1" applyFill="1"/>
    <xf numFmtId="38" fontId="5" fillId="4" borderId="0" xfId="0" applyNumberFormat="1" applyFont="1" applyFill="1"/>
    <xf numFmtId="38" fontId="1" fillId="13" borderId="0" xfId="0" applyNumberFormat="1" applyFont="1" applyFill="1"/>
    <xf numFmtId="0" fontId="16" fillId="16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vertical="center"/>
    </xf>
    <xf numFmtId="0" fontId="12" fillId="14" borderId="0" xfId="0" applyFont="1" applyFill="1" applyBorder="1" applyAlignment="1">
      <alignment vertical="center"/>
    </xf>
    <xf numFmtId="0" fontId="15" fillId="15" borderId="0" xfId="0" applyFont="1" applyFill="1" applyBorder="1" applyAlignment="1">
      <alignment vertical="center"/>
    </xf>
    <xf numFmtId="1" fontId="17" fillId="17" borderId="0" xfId="0" applyNumberFormat="1" applyFont="1" applyFill="1" applyBorder="1" applyAlignment="1">
      <alignment horizontal="center" vertical="center"/>
    </xf>
    <xf numFmtId="168" fontId="17" fillId="17" borderId="0" xfId="0" applyNumberFormat="1" applyFont="1" applyFill="1" applyBorder="1" applyAlignment="1">
      <alignment horizontal="center" vertical="center"/>
    </xf>
    <xf numFmtId="0" fontId="12" fillId="14" borderId="0" xfId="0" applyFont="1" applyFill="1" applyBorder="1" applyAlignment="1">
      <alignment vertical="center" wrapText="1"/>
    </xf>
    <xf numFmtId="0" fontId="12" fillId="19" borderId="0" xfId="0" applyFont="1" applyFill="1" applyBorder="1" applyAlignment="1">
      <alignment vertical="center" wrapText="1"/>
    </xf>
    <xf numFmtId="0" fontId="15" fillId="15" borderId="0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13" fillId="18" borderId="0" xfId="0" applyFont="1" applyFill="1" applyBorder="1" applyAlignment="1">
      <alignment horizontal="left" vertical="center" wrapText="1"/>
    </xf>
    <xf numFmtId="0" fontId="11" fillId="18" borderId="0" xfId="0" applyFont="1" applyFill="1" applyAlignment="1">
      <alignment horizontal="left" wrapText="1"/>
    </xf>
    <xf numFmtId="0" fontId="11" fillId="18" borderId="0" xfId="0" applyFont="1" applyFill="1" applyBorder="1" applyAlignment="1">
      <alignment horizontal="left" wrapText="1"/>
    </xf>
    <xf numFmtId="0" fontId="0" fillId="19" borderId="0" xfId="0" applyFill="1" applyAlignment="1">
      <alignment wrapText="1"/>
    </xf>
    <xf numFmtId="0" fontId="0" fillId="19" borderId="0" xfId="0" applyFill="1" applyBorder="1" applyAlignment="1">
      <alignment wrapText="1"/>
    </xf>
    <xf numFmtId="0" fontId="0" fillId="14" borderId="0" xfId="0" applyFill="1" applyAlignment="1">
      <alignment wrapText="1"/>
    </xf>
    <xf numFmtId="169" fontId="17" fillId="17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62">
    <dxf>
      <font>
        <name val="Aptos"/>
      </font>
      <numFmt numFmtId="6" formatCode="#,##0;[Red]\-#,##0"/>
    </dxf>
    <dxf>
      <font>
        <name val="Aptos"/>
      </font>
      <numFmt numFmtId="6" formatCode="#,##0;[Red]\-#,##0"/>
    </dxf>
    <dxf>
      <font>
        <name val="Aptos"/>
      </font>
      <numFmt numFmtId="6" formatCode="#,##0;[Red]\-#,##0"/>
    </dxf>
    <dxf>
      <font>
        <name val="Aptos"/>
      </font>
      <numFmt numFmtId="6" formatCode="#,##0;[Red]\-#,##0"/>
    </dxf>
    <dxf>
      <font>
        <name val="Aptos"/>
      </font>
      <numFmt numFmtId="165" formatCode="0.0%"/>
    </dxf>
    <dxf>
      <font>
        <name val="Aptos"/>
      </font>
      <numFmt numFmtId="6" formatCode="#,##0;[Red]\-#,##0"/>
    </dxf>
    <dxf>
      <font>
        <name val="Aptos"/>
      </font>
      <numFmt numFmtId="6" formatCode="#,##0;[Red]\-#,##0"/>
    </dxf>
    <dxf>
      <font>
        <color rgb="FF006100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666666"/>
      </font>
      <fill>
        <patternFill patternType="solid">
          <fgColor indexed="64"/>
          <bgColor rgb="FFE7E6E6"/>
        </patternFill>
      </fill>
    </dxf>
    <dxf>
      <font>
        <color rgb="FF006100"/>
      </font>
      <fill>
        <patternFill patternType="solid">
          <fgColor indexed="64"/>
          <bgColor rgb="FFD9EAD3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6100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006100"/>
      </font>
      <fill>
        <patternFill patternType="solid">
          <fgColor indexed="64"/>
          <bgColor rgb="FFD9EAD3"/>
        </patternFill>
      </fill>
    </dxf>
    <dxf>
      <font>
        <color rgb="FF9C6500"/>
      </font>
      <fill>
        <patternFill patternType="solid">
          <fgColor indexed="64"/>
          <bgColor rgb="FFFFF2CC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name val="Aptos"/>
      </font>
      <numFmt numFmtId="165" formatCode="0.0%"/>
      <fill>
        <patternFill patternType="solid">
          <fgColor indexed="64"/>
          <bgColor rgb="FFEAF2F8"/>
        </patternFill>
      </fill>
    </dxf>
    <dxf>
      <font>
        <name val="Aptos"/>
      </font>
      <numFmt numFmtId="165" formatCode="0.0%"/>
      <fill>
        <patternFill patternType="solid">
          <fgColor indexed="64"/>
          <bgColor rgb="FFEAF2F8"/>
        </patternFill>
      </fill>
    </dxf>
    <dxf>
      <font>
        <name val="Aptos"/>
      </font>
      <numFmt numFmtId="6" formatCode="#,##0;[Red]\-#,##0"/>
      <fill>
        <patternFill patternType="solid">
          <fgColor indexed="64"/>
          <bgColor rgb="FFEAF2F8"/>
        </patternFill>
      </fill>
    </dxf>
    <dxf>
      <font>
        <name val="Aptos"/>
      </font>
      <numFmt numFmtId="6" formatCode="#,##0;[Red]\-#,##0"/>
      <fill>
        <patternFill patternType="solid">
          <fgColor indexed="64"/>
          <bgColor rgb="FFEAF2F8"/>
        </patternFill>
      </fill>
    </dxf>
    <dxf>
      <font>
        <name val="Aptos"/>
      </font>
      <numFmt numFmtId="6" formatCode="#,##0;[Red]\-#,##0"/>
      <fill>
        <patternFill patternType="solid">
          <fgColor indexed="64"/>
          <bgColor rgb="FFFFF2CC"/>
        </patternFill>
      </fill>
    </dxf>
    <dxf>
      <font>
        <name val="Aptos"/>
      </font>
      <numFmt numFmtId="6" formatCode="#,##0;[Red]\-#,##0"/>
      <fill>
        <patternFill patternType="solid">
          <fgColor indexed="64"/>
          <bgColor rgb="FFFFF2CC"/>
        </patternFill>
      </fill>
    </dxf>
    <dxf>
      <font>
        <name val="Aptos"/>
      </font>
      <numFmt numFmtId="6" formatCode="#,##0;[Red]\-#,##0"/>
      <fill>
        <patternFill patternType="solid">
          <fgColor indexed="64"/>
          <bgColor rgb="FFFFF2CC"/>
        </patternFill>
      </fill>
    </dxf>
    <dxf>
      <font>
        <name val="Aptos"/>
      </font>
      <numFmt numFmtId="6" formatCode="#,##0;[Red]\-#,##0"/>
      <fill>
        <patternFill patternType="solid">
          <fgColor indexed="64"/>
          <bgColor rgb="FFFFF2CC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  <numFmt numFmtId="0" formatCode="General"/>
      <fill>
        <patternFill patternType="solid">
          <fgColor indexed="64"/>
          <bgColor rgb="FFFFF2CC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color rgb="FF137333"/>
      </font>
      <fill>
        <patternFill patternType="solid">
          <fgColor indexed="64"/>
          <bgColor rgb="FFE6F4EA"/>
        </patternFill>
      </fill>
    </dxf>
    <dxf>
      <font>
        <color rgb="FFB91C1C"/>
      </font>
      <fill>
        <patternFill patternType="solid">
          <fgColor indexed="64"/>
          <bgColor rgb="FFFCE8E6"/>
        </patternFill>
      </fill>
    </dxf>
    <dxf>
      <font>
        <name val="Aptos"/>
      </font>
      <numFmt numFmtId="164" formatCode="&quot;XDR&quot;#,##0"/>
      <fill>
        <patternFill patternType="solid">
          <fgColor indexed="64"/>
          <bgColor rgb="FFEAF0F6"/>
        </patternFill>
      </fill>
    </dxf>
    <dxf>
      <font>
        <name val="Aptos"/>
      </font>
      <numFmt numFmtId="164" formatCode="&quot;XDR&quot;#,##0"/>
      <fill>
        <patternFill patternType="solid">
          <fgColor indexed="64"/>
          <bgColor rgb="FFEAF0F6"/>
        </patternFill>
      </fill>
    </dxf>
    <dxf>
      <font>
        <name val="Aptos"/>
      </font>
      <fill>
        <patternFill patternType="solid">
          <fgColor indexed="64"/>
          <bgColor rgb="FFEAF0F6"/>
        </patternFill>
      </fill>
    </dxf>
    <dxf>
      <font>
        <name val="Aptos"/>
      </font>
      <fill>
        <patternFill patternType="solid">
          <fgColor indexed="64"/>
          <bgColor rgb="FFEAF0F6"/>
        </patternFill>
      </fill>
    </dxf>
    <dxf>
      <font>
        <name val="Aptos"/>
      </font>
      <fill>
        <patternFill patternType="solid">
          <fgColor indexed="64"/>
          <bgColor rgb="FFEAF0F6"/>
        </patternFill>
      </fill>
    </dxf>
    <dxf>
      <font>
        <name val="Aptos"/>
      </font>
      <fill>
        <patternFill patternType="solid">
          <fgColor indexed="64"/>
          <bgColor rgb="FFEAF0F6"/>
        </patternFill>
      </fill>
    </dxf>
    <dxf>
      <font>
        <name val="Aptos"/>
      </font>
      <fill>
        <patternFill patternType="solid">
          <fgColor indexed="64"/>
          <bgColor rgb="FFF2F2F2"/>
        </patternFill>
      </fill>
    </dxf>
    <dxf>
      <font>
        <name val="Aptos"/>
      </font>
      <numFmt numFmtId="166" formatCode="dd/mm/yyyy"/>
      <fill>
        <patternFill patternType="solid">
          <fgColor indexed="64"/>
          <bgColor rgb="FFF2F2F2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  <fill>
        <patternFill patternType="solid">
          <fgColor indexed="64"/>
          <bgColor rgb="FFFFF2CC"/>
        </patternFill>
      </fill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Evolución mensual — meses con actividad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Ventas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'Chart Data'!$A$2:$A$13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'Chart Data'!$B$2:$B$13</c:f>
              <c:numCache>
                <c:formatCode>General</c:formatCode>
                <c:ptCount val="12"/>
                <c:pt idx="0">
                  <c:v>330000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3-4DA6-AD4E-97C2C7EA8BA4}"/>
            </c:ext>
          </c:extLst>
        </c:ser>
        <c:ser>
          <c:idx val="1"/>
          <c:order val="1"/>
          <c:tx>
            <c:v>Costos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'Chart Data'!$A$2:$A$13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'Chart Data'!$C$2:$C$13</c:f>
              <c:numCache>
                <c:formatCode>General</c:formatCode>
                <c:ptCount val="12"/>
                <c:pt idx="0">
                  <c:v>275364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F3-4DA6-AD4E-97C2C7EA8BA4}"/>
            </c:ext>
          </c:extLst>
        </c:ser>
        <c:ser>
          <c:idx val="2"/>
          <c:order val="2"/>
          <c:tx>
            <c:v>Gastos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'Chart Data'!$A$2:$A$13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'Chart Data'!$D$2:$D$13</c:f>
              <c:numCache>
                <c:formatCode>General</c:formatCode>
                <c:ptCount val="12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F3-4DA6-AD4E-97C2C7EA8BA4}"/>
            </c:ext>
          </c:extLst>
        </c:ser>
        <c:ser>
          <c:idx val="3"/>
          <c:order val="3"/>
          <c:tx>
            <c:v>Ganancia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'Chart Data'!$A$2:$A$13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'Chart Data'!$E$2:$E$13</c:f>
              <c:numCache>
                <c:formatCode>General</c:formatCode>
                <c:ptCount val="12"/>
                <c:pt idx="0">
                  <c:v>54636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0F3-4DA6-AD4E-97C2C7EA8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161967"/>
        <c:axId val="1204889071"/>
      </c:lineChart>
      <c:catAx>
        <c:axId val="134016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889071"/>
        <c:crosses val="autoZero"/>
        <c:auto val="1"/>
        <c:lblAlgn val="ctr"/>
        <c:lblOffset val="100"/>
        <c:noMultiLvlLbl val="0"/>
      </c:catAx>
      <c:valAx>
        <c:axId val="1204889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16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Ventas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Dashboard!$A$31:$A$38</c:f>
              <c:strCache>
                <c:ptCount val="8"/>
                <c:pt idx="0">
                  <c:v>KEBAB</c:v>
                </c:pt>
                <c:pt idx="1">
                  <c:v>COMBO N1</c:v>
                </c:pt>
                <c:pt idx="2">
                  <c:v>COMBO N2</c:v>
                </c:pt>
                <c:pt idx="3">
                  <c:v>BOX COMUN</c:v>
                </c:pt>
                <c:pt idx="4">
                  <c:v>BOX XL</c:v>
                </c:pt>
                <c:pt idx="5">
                  <c:v>PREMIUM</c:v>
                </c:pt>
                <c:pt idx="6">
                  <c:v>TOPPINGS</c:v>
                </c:pt>
                <c:pt idx="7">
                  <c:v>PAPA FRITAS</c:v>
                </c:pt>
              </c:strCache>
            </c:strRef>
          </c:cat>
          <c:val>
            <c:numRef>
              <c:f>Dashboard!$C$31:$C$38</c:f>
              <c:numCache>
                <c:formatCode>#,##0_);[Red]\(#,##0\)</c:formatCode>
                <c:ptCount val="8"/>
                <c:pt idx="0">
                  <c:v>50000</c:v>
                </c:pt>
                <c:pt idx="1">
                  <c:v>12500</c:v>
                </c:pt>
                <c:pt idx="2">
                  <c:v>110000</c:v>
                </c:pt>
                <c:pt idx="3">
                  <c:v>100000</c:v>
                </c:pt>
                <c:pt idx="4">
                  <c:v>39000</c:v>
                </c:pt>
                <c:pt idx="5">
                  <c:v>0</c:v>
                </c:pt>
                <c:pt idx="6">
                  <c:v>4500</c:v>
                </c:pt>
                <c:pt idx="7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52-4308-8AB3-3A2281169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40115567"/>
        <c:axId val="1204890031"/>
      </c:barChart>
      <c:catAx>
        <c:axId val="134011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890031"/>
        <c:crosses val="autoZero"/>
        <c:auto val="1"/>
        <c:lblAlgn val="ctr"/>
        <c:lblOffset val="100"/>
        <c:noMultiLvlLbl val="0"/>
      </c:catAx>
      <c:valAx>
        <c:axId val="1204890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11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reales vs. meta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Ventas reales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'Metas y Control'!$A$11:$A$22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'Metas y Control'!$B$11:$B$22</c:f>
              <c:numCache>
                <c:formatCode>#,##0_);[Red]\(#,##0\)</c:formatCode>
                <c:ptCount val="12"/>
                <c:pt idx="0">
                  <c:v>330000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7F-4287-9929-4647E7EEA292}"/>
            </c:ext>
          </c:extLst>
        </c:ser>
        <c:ser>
          <c:idx val="1"/>
          <c:order val="1"/>
          <c:tx>
            <c:v>Meta ventas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'Metas y Control'!$A$11:$A$22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'Metas y Control'!$C$11:$C$22</c:f>
              <c:numCache>
                <c:formatCode>#,##0_);[Red]\(#,##0\)</c:formatCode>
                <c:ptCount val="12"/>
                <c:pt idx="0">
                  <c:v>363000.00000000006</c:v>
                </c:pt>
                <c:pt idx="1">
                  <c:v>363000.00000000006</c:v>
                </c:pt>
                <c:pt idx="2">
                  <c:v>363000.00000000006</c:v>
                </c:pt>
                <c:pt idx="3">
                  <c:v>363000.00000000006</c:v>
                </c:pt>
                <c:pt idx="4">
                  <c:v>363000.00000000006</c:v>
                </c:pt>
                <c:pt idx="5">
                  <c:v>363000.00000000006</c:v>
                </c:pt>
                <c:pt idx="6">
                  <c:v>363000.00000000006</c:v>
                </c:pt>
                <c:pt idx="7">
                  <c:v>363000.00000000006</c:v>
                </c:pt>
                <c:pt idx="8">
                  <c:v>363000.00000000006</c:v>
                </c:pt>
                <c:pt idx="9">
                  <c:v>363000.00000000006</c:v>
                </c:pt>
                <c:pt idx="10">
                  <c:v>363000.00000000006</c:v>
                </c:pt>
                <c:pt idx="11">
                  <c:v>363000.00000000006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7F-4287-9929-4647E7EEA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40178207"/>
        <c:axId val="1204890511"/>
      </c:barChart>
      <c:catAx>
        <c:axId val="134017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204890511"/>
        <c:crosses val="autoZero"/>
        <c:auto val="1"/>
        <c:lblAlgn val="ctr"/>
        <c:lblOffset val="100"/>
        <c:noMultiLvlLbl val="0"/>
      </c:catAx>
      <c:valAx>
        <c:axId val="12048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34017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4" name="Evolución Mensual">
          <a:extLst>
            <a:ext uri="{FF2B5EF4-FFF2-40B4-BE49-F238E27FC236}">
              <a16:creationId xmlns:a16="http://schemas.microsoft.com/office/drawing/2014/main" id="{6FD6CE77-9ECC-4794-6B89-F81BF33C3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5" name="Ventas por Producto">
          <a:extLst>
            <a:ext uri="{FF2B5EF4-FFF2-40B4-BE49-F238E27FC236}">
              <a16:creationId xmlns:a16="http://schemas.microsoft.com/office/drawing/2014/main" id="{AC4A457D-4D47-0BC9-B0C3-E97650A12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Ventas Reales vs Meta">
          <a:extLst>
            <a:ext uri="{FF2B5EF4-FFF2-40B4-BE49-F238E27FC236}">
              <a16:creationId xmlns:a16="http://schemas.microsoft.com/office/drawing/2014/main" id="{3C64DD0A-7595-B542-0416-A4E81074D6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D42984-094C-41DA-8764-F8FC5EAE6780}" name="tblRegistro" displayName="tblRegistro" ref="A4:V370" totalsRowShown="0" headerRowDxfId="61" dataDxfId="60">
  <autoFilter ref="A4:V370" xr:uid="{1BD42984-094C-41DA-8764-F8FC5EAE6780}"/>
  <tableColumns count="22">
    <tableColumn id="1" xr3:uid="{85A8E995-EEA8-401A-85DA-9900275E5D03}" name="FECHA" dataDxfId="43">
      <calculatedColumnFormula>IF(YEAR(A4+1)=Dashboard!$B$2,A4+1,"")</calculatedColumnFormula>
    </tableColumn>
    <tableColumn id="2" xr3:uid="{47F0CA73-7F50-456E-B055-F6298B603877}" name="MES" dataDxfId="42">
      <calculatedColumnFormula>IF(A5="","",TEXT(A5,"mmmm"))</calculatedColumnFormula>
    </tableColumn>
    <tableColumn id="3" xr3:uid="{BE4D75CD-682F-4505-AFEE-DE8A94BD5670}" name="KEBAB" dataDxfId="56"/>
    <tableColumn id="4" xr3:uid="{90960C24-64E1-4ACC-A773-DE6D0BC10AA5}" name="COMBO N1" dataDxfId="55"/>
    <tableColumn id="5" xr3:uid="{029CFBB4-E169-4415-8A66-F766273399D5}" name="COMBO N2" dataDxfId="54"/>
    <tableColumn id="6" xr3:uid="{306F6189-BE09-4A61-8DAB-C245AE23BCDA}" name="BOX COMUN" dataDxfId="53"/>
    <tableColumn id="7" xr3:uid="{8A3ECFA0-13B7-42DB-AF4E-0861EEA656B1}" name="BOX XL" dataDxfId="52"/>
    <tableColumn id="8" xr3:uid="{C4779A0A-BBCF-4C03-A1C5-4FAC23F0F79E}" name="PREMIUM" dataDxfId="51"/>
    <tableColumn id="9" xr3:uid="{77F763C3-E132-41E0-9173-38C5C13E005B}" name="TOPPINGS" dataDxfId="50"/>
    <tableColumn id="10" xr3:uid="{2C2449BD-61AB-498F-98D0-8B5C8FBDEC30}" name="PAPA FRITAS" dataDxfId="49"/>
    <tableColumn id="11" xr3:uid="{A0691BF9-8CFC-465C-9AE0-EC6D6AA7CD00}" name="TOTAL UNIDADES" dataDxfId="41">
      <calculatedColumnFormula>IF(A5="","",SUM(C5:J5))</calculatedColumnFormula>
    </tableColumn>
    <tableColumn id="12" xr3:uid="{1ACF5C19-C77A-4F7B-B26F-33AA2404BD11}" name="VENTA TOTAL" dataDxfId="37">
      <calculatedColumnFormula>IF(A5="","",C5*'Menu Productos'!$F$5+D5*'Menu Productos'!$F$6+E5*'Menu Productos'!$F$7+F5*'Menu Productos'!$F$8+G5*'Menu Productos'!$F$9+H5*'Menu Productos'!$F$10+I5*'Menu Productos'!$F$11+J5*'Menu Productos'!$F$12)</calculatedColumnFormula>
    </tableColumn>
    <tableColumn id="13" xr3:uid="{9F7F6315-94B6-420A-BD05-2A69985762F8}" name="COSTO TOTAL" dataDxfId="36">
      <calculatedColumnFormula>IF(A5="","",C5*'Menu Productos'!$E$5+D5*'Menu Productos'!$E$6+E5*'Menu Productos'!$E$7+F5*'Menu Productos'!$E$8+G5*'Menu Productos'!$E$9+H5*'Menu Productos'!$E$10+I5*'Menu Productos'!$E$11+J5*'Menu Productos'!$E$12)</calculatedColumnFormula>
    </tableColumn>
    <tableColumn id="14" xr3:uid="{101CCF4F-4E84-4D13-A949-B48B5DD2779E}" name="GASTOS" dataDxfId="48"/>
    <tableColumn id="15" xr3:uid="{0DA39DF3-BC16-4D59-891F-892218C069F5}" name="GANANCIA NETA" dataDxfId="40">
      <calculatedColumnFormula>IF(A5="","",L5-M5-N5)</calculatedColumnFormula>
    </tableColumn>
    <tableColumn id="16" xr3:uid="{32222B86-B95A-40E1-9784-4F69F6552BAE}" name="EFECTIVO" dataDxfId="47"/>
    <tableColumn id="17" xr3:uid="{E4AF5EFA-5761-4F32-8A32-7D4402081CBB}" name="TRANSFERENCIA" dataDxfId="46"/>
    <tableColumn id="18" xr3:uid="{6DDA7AF0-F3E1-44FE-A566-390C1D1E0F7D}" name="MERCADO PAGO" dataDxfId="45"/>
    <tableColumn id="19" xr3:uid="{2171502A-1F5D-40A5-9EB9-C2A4F46E6D7F}" name="TOTAL COBRADO" dataDxfId="39">
      <calculatedColumnFormula>IF(A5="","",SUM(P5:R5))</calculatedColumnFormula>
    </tableColumn>
    <tableColumn id="20" xr3:uid="{F1CA7FB0-9B14-4F35-8DF4-FBEBEFC9E590}" name="DIFERENCIA CAJA" dataDxfId="38">
      <calculatedColumnFormula>IF(A5="","",S5-(L5-N5))</calculatedColumnFormula>
    </tableColumn>
    <tableColumn id="21" xr3:uid="{5A2615C5-3A55-45CF-8072-5476B1D632D9}" name="OBSERVACIONES" dataDxfId="44"/>
    <tableColumn id="22" xr3:uid="{04039809-4D2B-4E09-B4C3-84EDFFBBB9BF}" name="ESTADO" dataDxfId="32">
      <calculatedColumnFormula>IF(A5&gt;TODAY(),"FUTURO",IF(AND(K5=0,N5=0,S5=0),"SIN MOVIMIENTO",IF(ABS(T5)&lt;='Metas y Control'!$B$6,"OK","REVISAR CAJA")))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452E07-45E0-405C-A1A5-C1EF38124F07}" name="tblMenu" displayName="tblMenu" ref="A4:I12" totalsRowShown="0" headerRowDxfId="58" dataDxfId="57">
  <autoFilter ref="A4:I12" xr:uid="{7B452E07-45E0-405C-A1A5-C1EF38124F07}"/>
  <tableColumns count="9">
    <tableColumn id="1" xr3:uid="{BD13CBD6-93A0-487B-A892-F1A4BAC877E5}" name="PRODUCTO" dataDxfId="59"/>
    <tableColumn id="2" xr3:uid="{76D26C12-C3D9-427C-A77C-D3F9E23E71F2}" name="COSTO INSUMOS" dataDxfId="28"/>
    <tableColumn id="3" xr3:uid="{FEE48A19-6430-41FA-9807-36DC0D9D6A5A}" name="EXTRA / PAPAS" dataDxfId="27"/>
    <tableColumn id="4" xr3:uid="{7BD5181A-C3FF-4D6F-940F-4D8137F04A39}" name="COSTO OPERATIVO UNIT." dataDxfId="26"/>
    <tableColumn id="5" xr3:uid="{32BA0943-826C-4DBC-A44B-3A8AEF450874}" name="COSTO TOTAL" dataDxfId="24">
      <calculatedColumnFormula>SUM(B5:D5)</calculatedColumnFormula>
    </tableColumn>
    <tableColumn id="6" xr3:uid="{290999E9-1A42-4A02-A5A8-D26F24B0683B}" name="PRECIO VENTA" dataDxfId="25"/>
    <tableColumn id="7" xr3:uid="{063D6F6C-639D-41EF-92D5-467D5B227FE9}" name="UTILIDAD UNITARIA" dataDxfId="23">
      <calculatedColumnFormula>F5-E5</calculatedColumnFormula>
    </tableColumn>
    <tableColumn id="8" xr3:uid="{4A238559-6A16-4A61-AF28-9068ED9DB021}" name="MARGEN CONTRIB." dataDxfId="22">
      <calculatedColumnFormula>IFERROR(G5/F5,0)</calculatedColumnFormula>
    </tableColumn>
    <tableColumn id="9" xr3:uid="{D70711BF-6B2E-414E-9B9C-88734C481AF1}" name="MARKUP" dataDxfId="21">
      <calculatedColumnFormula>IFERROR(F5/E5-1,0)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4F79BB-6503-488A-9EF9-D1006BEF0292}" name="tblMetas" displayName="tblMetas" ref="A10:H23" totalsRowShown="0" headerRowDxfId="30" dataDxfId="29">
  <autoFilter ref="A10:H23" xr:uid="{A24F79BB-6503-488A-9EF9-D1006BEF0292}"/>
  <tableColumns count="8">
    <tableColumn id="1" xr3:uid="{0A0AD000-7FAE-4CCE-BFA3-0BC3640D33C2}" name="MES" dataDxfId="31"/>
    <tableColumn id="2" xr3:uid="{D05317A8-776B-42BF-A415-C7A11252DC0C}" name="VENTAS REALES (ARS)" dataDxfId="6"/>
    <tableColumn id="3" xr3:uid="{31747243-7656-4FD2-B30D-1ED5ABA7251D}" name="META VENTAS (ARS)" dataDxfId="5"/>
    <tableColumn id="4" xr3:uid="{BB6CDDA9-9656-4BFE-A8D1-88587C4FE608}" name="CUMPLIMIENTO" dataDxfId="4">
      <calculatedColumnFormula>IFERROR(B11/C11,0)</calculatedColumnFormula>
    </tableColumn>
    <tableColumn id="5" xr3:uid="{82274E01-2956-4E44-9390-1C23C9AE3299}" name="GANANCIA REAL (ARS)" dataDxfId="3"/>
    <tableColumn id="6" xr3:uid="{5C610672-5141-4BA2-A228-538A10BE7FBB}" name="META GANANCIA (ARS)" dataDxfId="2"/>
    <tableColumn id="7" xr3:uid="{362BDC28-A45D-4BA0-AD14-1DB56EA8D762}" name="BRECHA GANANCIA (ARS)" dataDxfId="1"/>
    <tableColumn id="8" xr3:uid="{864EDAF7-FB1B-471D-992E-9CA58099735D}" name="PUNTO EQUILIBRIO (ARS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46256-6FB0-42FB-9FB1-62E4378FF9B3}">
  <dimension ref="A1:O48"/>
  <sheetViews>
    <sheetView topLeftCell="A21" workbookViewId="0">
      <selection activeCell="D36" sqref="D36"/>
    </sheetView>
  </sheetViews>
  <sheetFormatPr baseColWidth="10" defaultRowHeight="14.4" x14ac:dyDescent="0.3"/>
  <cols>
    <col min="1" max="1" width="14.6640625" bestFit="1" customWidth="1"/>
    <col min="2" max="2" width="13.44140625" bestFit="1" customWidth="1"/>
    <col min="3" max="3" width="14.21875" bestFit="1" customWidth="1"/>
    <col min="4" max="4" width="21.6640625" bestFit="1" customWidth="1"/>
    <col min="5" max="5" width="20.21875" bestFit="1" customWidth="1"/>
    <col min="6" max="6" width="18.5546875" bestFit="1" customWidth="1"/>
    <col min="7" max="7" width="15" bestFit="1" customWidth="1"/>
    <col min="8" max="8" width="13.6640625" customWidth="1"/>
    <col min="9" max="12" width="10.21875" customWidth="1"/>
    <col min="13" max="15" width="12.21875" customWidth="1"/>
  </cols>
  <sheetData>
    <row r="1" spans="1:15" ht="25.8" x14ac:dyDescent="0.5">
      <c r="A1" s="9" t="s">
        <v>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3">
      <c r="A2" s="10" t="s">
        <v>34</v>
      </c>
      <c r="B2" s="13">
        <v>2026</v>
      </c>
      <c r="C2" s="10"/>
      <c r="D2" s="11" t="s">
        <v>35</v>
      </c>
      <c r="E2" s="11"/>
      <c r="F2" s="11"/>
      <c r="G2" s="11"/>
      <c r="H2" s="11"/>
      <c r="I2" s="10"/>
      <c r="J2" s="10"/>
      <c r="K2" s="10"/>
      <c r="L2" s="10"/>
      <c r="M2" s="10"/>
      <c r="N2" s="10"/>
      <c r="O2" s="10"/>
    </row>
    <row r="3" spans="1:15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x14ac:dyDescent="0.3">
      <c r="A4" s="14" t="s">
        <v>58</v>
      </c>
      <c r="B4" s="14"/>
      <c r="C4" s="14"/>
      <c r="D4" s="14" t="s">
        <v>59</v>
      </c>
      <c r="E4" s="14"/>
      <c r="F4" s="14"/>
      <c r="G4" s="14" t="s">
        <v>36</v>
      </c>
      <c r="H4" s="14"/>
      <c r="I4" s="14"/>
      <c r="J4" s="17" t="s">
        <v>60</v>
      </c>
      <c r="K4" s="17"/>
      <c r="L4" s="17"/>
      <c r="M4" s="38" t="s">
        <v>76</v>
      </c>
      <c r="N4" s="38"/>
      <c r="O4" s="38"/>
    </row>
    <row r="5" spans="1:15" x14ac:dyDescent="0.3">
      <c r="A5" s="30">
        <f>SUM('Registro Diario'!$L$5:$L$370)</f>
        <v>330000</v>
      </c>
      <c r="B5" s="15"/>
      <c r="C5" s="15"/>
      <c r="D5" s="30">
        <f>SUM('Registro Diario'!$O$5:$O$370)</f>
        <v>54636</v>
      </c>
      <c r="E5" s="15"/>
      <c r="F5" s="15"/>
      <c r="G5" s="16">
        <f>IFERROR(D5/A5,0)</f>
        <v>0.16556363636363636</v>
      </c>
      <c r="H5" s="15"/>
      <c r="I5" s="15"/>
      <c r="J5" s="30">
        <f>SUM('Registro Diario'!$T$5:$T$370)</f>
        <v>0</v>
      </c>
      <c r="K5" s="15"/>
      <c r="L5" s="15"/>
      <c r="M5" s="39">
        <f ca="1">COUNTIF('Registro Diario'!$V$5:$V$370,"REVISAR CAJA")</f>
        <v>0</v>
      </c>
      <c r="N5" s="39"/>
      <c r="O5" s="39"/>
    </row>
    <row r="6" spans="1:15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39"/>
      <c r="N6" s="39"/>
      <c r="O6" s="39"/>
    </row>
    <row r="7" spans="1:15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39"/>
      <c r="N7" s="39"/>
      <c r="O7" s="39"/>
    </row>
    <row r="8" spans="1:15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3">
      <c r="A10" s="8" t="s">
        <v>37</v>
      </c>
      <c r="B10" s="8"/>
      <c r="C10" s="8"/>
      <c r="D10" s="8"/>
      <c r="E10" s="8"/>
      <c r="F10" s="8"/>
      <c r="G10" s="8"/>
      <c r="H10" s="4"/>
      <c r="I10" s="4"/>
      <c r="J10" s="4"/>
      <c r="K10" s="4"/>
      <c r="L10" s="4"/>
      <c r="M10" s="4"/>
      <c r="N10" s="4"/>
      <c r="O10" s="4"/>
    </row>
    <row r="11" spans="1:1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x14ac:dyDescent="0.3">
      <c r="A12" s="18" t="s">
        <v>22</v>
      </c>
      <c r="B12" s="18" t="s">
        <v>61</v>
      </c>
      <c r="C12" s="18" t="s">
        <v>62</v>
      </c>
      <c r="D12" s="18" t="s">
        <v>63</v>
      </c>
      <c r="E12" s="18" t="s">
        <v>64</v>
      </c>
      <c r="F12" s="18" t="s">
        <v>41</v>
      </c>
      <c r="G12" s="18" t="s">
        <v>65</v>
      </c>
      <c r="H12" s="4"/>
      <c r="I12" s="4"/>
      <c r="J12" s="4"/>
      <c r="K12" s="4"/>
      <c r="L12" s="4"/>
      <c r="M12" s="4"/>
      <c r="N12" s="4"/>
      <c r="O12" s="4"/>
    </row>
    <row r="13" spans="1:15" x14ac:dyDescent="0.3">
      <c r="A13" s="4" t="s">
        <v>42</v>
      </c>
      <c r="B13" s="31">
        <f>SUMIFS('Registro Diario'!$L$5:$L$370,'Registro Diario'!$A$5:$A$370,"&gt;="&amp;DATE($B$2,1,1),'Registro Diario'!$A$5:$A$370,"&lt;"&amp;EDATE(DATE($B$2,1,1),1))</f>
        <v>330000</v>
      </c>
      <c r="C13" s="31">
        <f>SUMIFS('Registro Diario'!$M$5:$M$370,'Registro Diario'!$A$5:$A$370,"&gt;="&amp;DATE($B$2,1,1),'Registro Diario'!$A$5:$A$370,"&lt;"&amp;EDATE(DATE($B$2,1,1),1))</f>
        <v>275364</v>
      </c>
      <c r="D13" s="31">
        <f>SUMIFS('Registro Diario'!$N$5:$N$370,'Registro Diario'!$A$5:$A$370,"&gt;="&amp;DATE($B$2,1,1),'Registro Diario'!$A$5:$A$370,"&lt;"&amp;EDATE(DATE($B$2,1,1),1))</f>
        <v>0</v>
      </c>
      <c r="E13" s="31">
        <f>SUMIFS('Registro Diario'!$O$5:$O$370,'Registro Diario'!$A$5:$A$370,"&gt;="&amp;DATE($B$2,1,1),'Registro Diario'!$A$5:$A$370,"&lt;"&amp;EDATE(DATE($B$2,1,1),1))</f>
        <v>54636</v>
      </c>
      <c r="F13" s="5">
        <f>IFERROR(E13/B13,0)</f>
        <v>0.16556363636363636</v>
      </c>
      <c r="G13" s="31">
        <f>SUMIFS('Registro Diario'!$T$5:$T$370,'Registro Diario'!$A$5:$A$370,"&gt;="&amp;DATE($B$2,1,1),'Registro Diario'!$A$5:$A$370,"&lt;"&amp;EDATE(DATE($B$2,1,1),1))</f>
        <v>0</v>
      </c>
      <c r="H13" s="4"/>
      <c r="I13" s="4"/>
      <c r="J13" s="4"/>
      <c r="K13" s="4"/>
      <c r="L13" s="4"/>
      <c r="M13" s="4"/>
      <c r="N13" s="4"/>
      <c r="O13" s="4"/>
    </row>
    <row r="14" spans="1:15" x14ac:dyDescent="0.3">
      <c r="A14" s="4" t="s">
        <v>43</v>
      </c>
      <c r="B14" s="31">
        <f>SUMIFS('Registro Diario'!$L$5:$L$370,'Registro Diario'!$A$5:$A$370,"&gt;="&amp;DATE($B$2,2,1),'Registro Diario'!$A$5:$A$370,"&lt;"&amp;EDATE(DATE($B$2,2,1),1))</f>
        <v>0</v>
      </c>
      <c r="C14" s="31">
        <f>SUMIFS('Registro Diario'!$M$5:$M$370,'Registro Diario'!$A$5:$A$370,"&gt;="&amp;DATE($B$2,2,1),'Registro Diario'!$A$5:$A$370,"&lt;"&amp;EDATE(DATE($B$2,2,1),1))</f>
        <v>0</v>
      </c>
      <c r="D14" s="31">
        <f>SUMIFS('Registro Diario'!$N$5:$N$370,'Registro Diario'!$A$5:$A$370,"&gt;="&amp;DATE($B$2,2,1),'Registro Diario'!$A$5:$A$370,"&lt;"&amp;EDATE(DATE($B$2,2,1),1))</f>
        <v>0</v>
      </c>
      <c r="E14" s="31">
        <f>SUMIFS('Registro Diario'!$O$5:$O$370,'Registro Diario'!$A$5:$A$370,"&gt;="&amp;DATE($B$2,2,1),'Registro Diario'!$A$5:$A$370,"&lt;"&amp;EDATE(DATE($B$2,2,1),1))</f>
        <v>0</v>
      </c>
      <c r="F14" s="5">
        <f>IFERROR(E14/B14,0)</f>
        <v>0</v>
      </c>
      <c r="G14" s="31">
        <f>SUMIFS('Registro Diario'!$T$5:$T$370,'Registro Diario'!$A$5:$A$370,"&gt;="&amp;DATE($B$2,2,1),'Registro Diario'!$A$5:$A$370,"&lt;"&amp;EDATE(DATE($B$2,2,1),1))</f>
        <v>0</v>
      </c>
      <c r="H14" s="4"/>
      <c r="I14" s="4"/>
      <c r="J14" s="4"/>
      <c r="K14" s="4"/>
      <c r="L14" s="4"/>
      <c r="M14" s="4"/>
      <c r="N14" s="4"/>
      <c r="O14" s="4"/>
    </row>
    <row r="15" spans="1:15" x14ac:dyDescent="0.3">
      <c r="A15" s="4" t="s">
        <v>44</v>
      </c>
      <c r="B15" s="31">
        <f>SUMIFS('Registro Diario'!$L$5:$L$370,'Registro Diario'!$A$5:$A$370,"&gt;="&amp;DATE($B$2,3,1),'Registro Diario'!$A$5:$A$370,"&lt;"&amp;EDATE(DATE($B$2,3,1),1))</f>
        <v>0</v>
      </c>
      <c r="C15" s="31">
        <f>SUMIFS('Registro Diario'!$M$5:$M$370,'Registro Diario'!$A$5:$A$370,"&gt;="&amp;DATE($B$2,3,1),'Registro Diario'!$A$5:$A$370,"&lt;"&amp;EDATE(DATE($B$2,3,1),1))</f>
        <v>0</v>
      </c>
      <c r="D15" s="31">
        <f>SUMIFS('Registro Diario'!$N$5:$N$370,'Registro Diario'!$A$5:$A$370,"&gt;="&amp;DATE($B$2,3,1),'Registro Diario'!$A$5:$A$370,"&lt;"&amp;EDATE(DATE($B$2,3,1),1))</f>
        <v>0</v>
      </c>
      <c r="E15" s="31">
        <f>SUMIFS('Registro Diario'!$O$5:$O$370,'Registro Diario'!$A$5:$A$370,"&gt;="&amp;DATE($B$2,3,1),'Registro Diario'!$A$5:$A$370,"&lt;"&amp;EDATE(DATE($B$2,3,1),1))</f>
        <v>0</v>
      </c>
      <c r="F15" s="5">
        <f>IFERROR(E15/B15,0)</f>
        <v>0</v>
      </c>
      <c r="G15" s="31">
        <f>SUMIFS('Registro Diario'!$T$5:$T$370,'Registro Diario'!$A$5:$A$370,"&gt;="&amp;DATE($B$2,3,1),'Registro Diario'!$A$5:$A$370,"&lt;"&amp;EDATE(DATE($B$2,3,1),1))</f>
        <v>0</v>
      </c>
      <c r="H15" s="4"/>
      <c r="I15" s="4"/>
      <c r="J15" s="4"/>
      <c r="K15" s="4"/>
      <c r="L15" s="4"/>
      <c r="M15" s="4"/>
      <c r="N15" s="4"/>
      <c r="O15" s="4"/>
    </row>
    <row r="16" spans="1:15" x14ac:dyDescent="0.3">
      <c r="A16" s="4" t="s">
        <v>45</v>
      </c>
      <c r="B16" s="31">
        <f>SUMIFS('Registro Diario'!$L$5:$L$370,'Registro Diario'!$A$5:$A$370,"&gt;="&amp;DATE($B$2,4,1),'Registro Diario'!$A$5:$A$370,"&lt;"&amp;EDATE(DATE($B$2,4,1),1))</f>
        <v>0</v>
      </c>
      <c r="C16" s="31">
        <f>SUMIFS('Registro Diario'!$M$5:$M$370,'Registro Diario'!$A$5:$A$370,"&gt;="&amp;DATE($B$2,4,1),'Registro Diario'!$A$5:$A$370,"&lt;"&amp;EDATE(DATE($B$2,4,1),1))</f>
        <v>0</v>
      </c>
      <c r="D16" s="31">
        <f>SUMIFS('Registro Diario'!$N$5:$N$370,'Registro Diario'!$A$5:$A$370,"&gt;="&amp;DATE($B$2,4,1),'Registro Diario'!$A$5:$A$370,"&lt;"&amp;EDATE(DATE($B$2,4,1),1))</f>
        <v>0</v>
      </c>
      <c r="E16" s="31">
        <f>SUMIFS('Registro Diario'!$O$5:$O$370,'Registro Diario'!$A$5:$A$370,"&gt;="&amp;DATE($B$2,4,1),'Registro Diario'!$A$5:$A$370,"&lt;"&amp;EDATE(DATE($B$2,4,1),1))</f>
        <v>0</v>
      </c>
      <c r="F16" s="5">
        <f>IFERROR(E16/B16,0)</f>
        <v>0</v>
      </c>
      <c r="G16" s="31">
        <f>SUMIFS('Registro Diario'!$T$5:$T$370,'Registro Diario'!$A$5:$A$370,"&gt;="&amp;DATE($B$2,4,1),'Registro Diario'!$A$5:$A$370,"&lt;"&amp;EDATE(DATE($B$2,4,1),1))</f>
        <v>0</v>
      </c>
      <c r="H16" s="4"/>
      <c r="I16" s="4"/>
      <c r="J16" s="4"/>
      <c r="K16" s="4"/>
      <c r="L16" s="4"/>
      <c r="M16" s="4"/>
      <c r="N16" s="4"/>
      <c r="O16" s="4"/>
    </row>
    <row r="17" spans="1:15" x14ac:dyDescent="0.3">
      <c r="A17" s="4" t="s">
        <v>46</v>
      </c>
      <c r="B17" s="31">
        <f>SUMIFS('Registro Diario'!$L$5:$L$370,'Registro Diario'!$A$5:$A$370,"&gt;="&amp;DATE($B$2,5,1),'Registro Diario'!$A$5:$A$370,"&lt;"&amp;EDATE(DATE($B$2,5,1),1))</f>
        <v>0</v>
      </c>
      <c r="C17" s="31">
        <f>SUMIFS('Registro Diario'!$M$5:$M$370,'Registro Diario'!$A$5:$A$370,"&gt;="&amp;DATE($B$2,5,1),'Registro Diario'!$A$5:$A$370,"&lt;"&amp;EDATE(DATE($B$2,5,1),1))</f>
        <v>0</v>
      </c>
      <c r="D17" s="31">
        <f>SUMIFS('Registro Diario'!$N$5:$N$370,'Registro Diario'!$A$5:$A$370,"&gt;="&amp;DATE($B$2,5,1),'Registro Diario'!$A$5:$A$370,"&lt;"&amp;EDATE(DATE($B$2,5,1),1))</f>
        <v>0</v>
      </c>
      <c r="E17" s="31">
        <f>SUMIFS('Registro Diario'!$O$5:$O$370,'Registro Diario'!$A$5:$A$370,"&gt;="&amp;DATE($B$2,5,1),'Registro Diario'!$A$5:$A$370,"&lt;"&amp;EDATE(DATE($B$2,5,1),1))</f>
        <v>0</v>
      </c>
      <c r="F17" s="5">
        <f>IFERROR(E17/B17,0)</f>
        <v>0</v>
      </c>
      <c r="G17" s="31">
        <f>SUMIFS('Registro Diario'!$T$5:$T$370,'Registro Diario'!$A$5:$A$370,"&gt;="&amp;DATE($B$2,5,1),'Registro Diario'!$A$5:$A$370,"&lt;"&amp;EDATE(DATE($B$2,5,1),1))</f>
        <v>0</v>
      </c>
      <c r="H17" s="4"/>
      <c r="I17" s="4"/>
      <c r="J17" s="4"/>
      <c r="K17" s="4"/>
      <c r="L17" s="4"/>
      <c r="M17" s="4"/>
      <c r="N17" s="4"/>
      <c r="O17" s="4"/>
    </row>
    <row r="18" spans="1:15" x14ac:dyDescent="0.3">
      <c r="A18" s="4" t="s">
        <v>47</v>
      </c>
      <c r="B18" s="31">
        <f>SUMIFS('Registro Diario'!$L$5:$L$370,'Registro Diario'!$A$5:$A$370,"&gt;="&amp;DATE($B$2,6,1),'Registro Diario'!$A$5:$A$370,"&lt;"&amp;EDATE(DATE($B$2,6,1),1))</f>
        <v>0</v>
      </c>
      <c r="C18" s="31">
        <f>SUMIFS('Registro Diario'!$M$5:$M$370,'Registro Diario'!$A$5:$A$370,"&gt;="&amp;DATE($B$2,6,1),'Registro Diario'!$A$5:$A$370,"&lt;"&amp;EDATE(DATE($B$2,6,1),1))</f>
        <v>0</v>
      </c>
      <c r="D18" s="31">
        <f>SUMIFS('Registro Diario'!$N$5:$N$370,'Registro Diario'!$A$5:$A$370,"&gt;="&amp;DATE($B$2,6,1),'Registro Diario'!$A$5:$A$370,"&lt;"&amp;EDATE(DATE($B$2,6,1),1))</f>
        <v>0</v>
      </c>
      <c r="E18" s="31">
        <f>SUMIFS('Registro Diario'!$O$5:$O$370,'Registro Diario'!$A$5:$A$370,"&gt;="&amp;DATE($B$2,6,1),'Registro Diario'!$A$5:$A$370,"&lt;"&amp;EDATE(DATE($B$2,6,1),1))</f>
        <v>0</v>
      </c>
      <c r="F18" s="5">
        <f>IFERROR(E18/B18,0)</f>
        <v>0</v>
      </c>
      <c r="G18" s="31">
        <f>SUMIFS('Registro Diario'!$T$5:$T$370,'Registro Diario'!$A$5:$A$370,"&gt;="&amp;DATE($B$2,6,1),'Registro Diario'!$A$5:$A$370,"&lt;"&amp;EDATE(DATE($B$2,6,1),1))</f>
        <v>0</v>
      </c>
      <c r="H18" s="4"/>
      <c r="I18" s="4"/>
      <c r="J18" s="4"/>
      <c r="K18" s="4"/>
      <c r="L18" s="4"/>
      <c r="M18" s="4"/>
      <c r="N18" s="4"/>
      <c r="O18" s="4"/>
    </row>
    <row r="19" spans="1:15" x14ac:dyDescent="0.3">
      <c r="A19" s="4" t="s">
        <v>48</v>
      </c>
      <c r="B19" s="31">
        <f>SUMIFS('Registro Diario'!$L$5:$L$370,'Registro Diario'!$A$5:$A$370,"&gt;="&amp;DATE($B$2,7,1),'Registro Diario'!$A$5:$A$370,"&lt;"&amp;EDATE(DATE($B$2,7,1),1))</f>
        <v>0</v>
      </c>
      <c r="C19" s="31">
        <f>SUMIFS('Registro Diario'!$M$5:$M$370,'Registro Diario'!$A$5:$A$370,"&gt;="&amp;DATE($B$2,7,1),'Registro Diario'!$A$5:$A$370,"&lt;"&amp;EDATE(DATE($B$2,7,1),1))</f>
        <v>0</v>
      </c>
      <c r="D19" s="31">
        <f>SUMIFS('Registro Diario'!$N$5:$N$370,'Registro Diario'!$A$5:$A$370,"&gt;="&amp;DATE($B$2,7,1),'Registro Diario'!$A$5:$A$370,"&lt;"&amp;EDATE(DATE($B$2,7,1),1))</f>
        <v>0</v>
      </c>
      <c r="E19" s="31">
        <f>SUMIFS('Registro Diario'!$O$5:$O$370,'Registro Diario'!$A$5:$A$370,"&gt;="&amp;DATE($B$2,7,1),'Registro Diario'!$A$5:$A$370,"&lt;"&amp;EDATE(DATE($B$2,7,1),1))</f>
        <v>0</v>
      </c>
      <c r="F19" s="5">
        <f>IFERROR(E19/B19,0)</f>
        <v>0</v>
      </c>
      <c r="G19" s="31">
        <f>SUMIFS('Registro Diario'!$T$5:$T$370,'Registro Diario'!$A$5:$A$370,"&gt;="&amp;DATE($B$2,7,1),'Registro Diario'!$A$5:$A$370,"&lt;"&amp;EDATE(DATE($B$2,7,1),1))</f>
        <v>0</v>
      </c>
      <c r="H19" s="4"/>
      <c r="I19" s="4"/>
      <c r="J19" s="4"/>
      <c r="K19" s="4"/>
      <c r="L19" s="4"/>
      <c r="M19" s="4"/>
      <c r="N19" s="4"/>
      <c r="O19" s="4"/>
    </row>
    <row r="20" spans="1:15" x14ac:dyDescent="0.3">
      <c r="A20" s="4" t="s">
        <v>49</v>
      </c>
      <c r="B20" s="31">
        <f>SUMIFS('Registro Diario'!$L$5:$L$370,'Registro Diario'!$A$5:$A$370,"&gt;="&amp;DATE($B$2,8,1),'Registro Diario'!$A$5:$A$370,"&lt;"&amp;EDATE(DATE($B$2,8,1),1))</f>
        <v>0</v>
      </c>
      <c r="C20" s="31">
        <f>SUMIFS('Registro Diario'!$M$5:$M$370,'Registro Diario'!$A$5:$A$370,"&gt;="&amp;DATE($B$2,8,1),'Registro Diario'!$A$5:$A$370,"&lt;"&amp;EDATE(DATE($B$2,8,1),1))</f>
        <v>0</v>
      </c>
      <c r="D20" s="31">
        <f>SUMIFS('Registro Diario'!$N$5:$N$370,'Registro Diario'!$A$5:$A$370,"&gt;="&amp;DATE($B$2,8,1),'Registro Diario'!$A$5:$A$370,"&lt;"&amp;EDATE(DATE($B$2,8,1),1))</f>
        <v>0</v>
      </c>
      <c r="E20" s="31">
        <f>SUMIFS('Registro Diario'!$O$5:$O$370,'Registro Diario'!$A$5:$A$370,"&gt;="&amp;DATE($B$2,8,1),'Registro Diario'!$A$5:$A$370,"&lt;"&amp;EDATE(DATE($B$2,8,1),1))</f>
        <v>0</v>
      </c>
      <c r="F20" s="5">
        <f>IFERROR(E20/B20,0)</f>
        <v>0</v>
      </c>
      <c r="G20" s="31">
        <f>SUMIFS('Registro Diario'!$T$5:$T$370,'Registro Diario'!$A$5:$A$370,"&gt;="&amp;DATE($B$2,8,1),'Registro Diario'!$A$5:$A$370,"&lt;"&amp;EDATE(DATE($B$2,8,1),1))</f>
        <v>0</v>
      </c>
      <c r="H20" s="4"/>
      <c r="I20" s="4"/>
      <c r="J20" s="4"/>
      <c r="K20" s="4"/>
      <c r="L20" s="4"/>
      <c r="M20" s="4"/>
      <c r="N20" s="4"/>
      <c r="O20" s="4"/>
    </row>
    <row r="21" spans="1:15" x14ac:dyDescent="0.3">
      <c r="A21" s="4" t="s">
        <v>50</v>
      </c>
      <c r="B21" s="31">
        <f>SUMIFS('Registro Diario'!$L$5:$L$370,'Registro Diario'!$A$5:$A$370,"&gt;="&amp;DATE($B$2,9,1),'Registro Diario'!$A$5:$A$370,"&lt;"&amp;EDATE(DATE($B$2,9,1),1))</f>
        <v>0</v>
      </c>
      <c r="C21" s="31">
        <f>SUMIFS('Registro Diario'!$M$5:$M$370,'Registro Diario'!$A$5:$A$370,"&gt;="&amp;DATE($B$2,9,1),'Registro Diario'!$A$5:$A$370,"&lt;"&amp;EDATE(DATE($B$2,9,1),1))</f>
        <v>0</v>
      </c>
      <c r="D21" s="31">
        <f>SUMIFS('Registro Diario'!$N$5:$N$370,'Registro Diario'!$A$5:$A$370,"&gt;="&amp;DATE($B$2,9,1),'Registro Diario'!$A$5:$A$370,"&lt;"&amp;EDATE(DATE($B$2,9,1),1))</f>
        <v>0</v>
      </c>
      <c r="E21" s="31">
        <f>SUMIFS('Registro Diario'!$O$5:$O$370,'Registro Diario'!$A$5:$A$370,"&gt;="&amp;DATE($B$2,9,1),'Registro Diario'!$A$5:$A$370,"&lt;"&amp;EDATE(DATE($B$2,9,1),1))</f>
        <v>0</v>
      </c>
      <c r="F21" s="5">
        <f>IFERROR(E21/B21,0)</f>
        <v>0</v>
      </c>
      <c r="G21" s="31">
        <f>SUMIFS('Registro Diario'!$T$5:$T$370,'Registro Diario'!$A$5:$A$370,"&gt;="&amp;DATE($B$2,9,1),'Registro Diario'!$A$5:$A$370,"&lt;"&amp;EDATE(DATE($B$2,9,1),1))</f>
        <v>0</v>
      </c>
      <c r="H21" s="4"/>
      <c r="I21" s="4"/>
      <c r="J21" s="4"/>
      <c r="K21" s="4"/>
      <c r="L21" s="4"/>
      <c r="M21" s="4"/>
      <c r="N21" s="4"/>
      <c r="O21" s="4"/>
    </row>
    <row r="22" spans="1:15" x14ac:dyDescent="0.3">
      <c r="A22" s="4" t="s">
        <v>51</v>
      </c>
      <c r="B22" s="31">
        <f>SUMIFS('Registro Diario'!$L$5:$L$370,'Registro Diario'!$A$5:$A$370,"&gt;="&amp;DATE($B$2,10,1),'Registro Diario'!$A$5:$A$370,"&lt;"&amp;EDATE(DATE($B$2,10,1),1))</f>
        <v>0</v>
      </c>
      <c r="C22" s="31">
        <f>SUMIFS('Registro Diario'!$M$5:$M$370,'Registro Diario'!$A$5:$A$370,"&gt;="&amp;DATE($B$2,10,1),'Registro Diario'!$A$5:$A$370,"&lt;"&amp;EDATE(DATE($B$2,10,1),1))</f>
        <v>0</v>
      </c>
      <c r="D22" s="31">
        <f>SUMIFS('Registro Diario'!$N$5:$N$370,'Registro Diario'!$A$5:$A$370,"&gt;="&amp;DATE($B$2,10,1),'Registro Diario'!$A$5:$A$370,"&lt;"&amp;EDATE(DATE($B$2,10,1),1))</f>
        <v>0</v>
      </c>
      <c r="E22" s="31">
        <f>SUMIFS('Registro Diario'!$O$5:$O$370,'Registro Diario'!$A$5:$A$370,"&gt;="&amp;DATE($B$2,10,1),'Registro Diario'!$A$5:$A$370,"&lt;"&amp;EDATE(DATE($B$2,10,1),1))</f>
        <v>0</v>
      </c>
      <c r="F22" s="5">
        <f>IFERROR(E22/B22,0)</f>
        <v>0</v>
      </c>
      <c r="G22" s="31">
        <f>SUMIFS('Registro Diario'!$T$5:$T$370,'Registro Diario'!$A$5:$A$370,"&gt;="&amp;DATE($B$2,10,1),'Registro Diario'!$A$5:$A$370,"&lt;"&amp;EDATE(DATE($B$2,10,1),1))</f>
        <v>0</v>
      </c>
      <c r="H22" s="4"/>
      <c r="I22" s="4"/>
      <c r="J22" s="4"/>
      <c r="K22" s="4"/>
      <c r="L22" s="4"/>
      <c r="M22" s="4"/>
      <c r="N22" s="4"/>
      <c r="O22" s="4"/>
    </row>
    <row r="23" spans="1:15" x14ac:dyDescent="0.3">
      <c r="A23" s="4" t="s">
        <v>52</v>
      </c>
      <c r="B23" s="31">
        <f>SUMIFS('Registro Diario'!$L$5:$L$370,'Registro Diario'!$A$5:$A$370,"&gt;="&amp;DATE($B$2,11,1),'Registro Diario'!$A$5:$A$370,"&lt;"&amp;EDATE(DATE($B$2,11,1),1))</f>
        <v>0</v>
      </c>
      <c r="C23" s="31">
        <f>SUMIFS('Registro Diario'!$M$5:$M$370,'Registro Diario'!$A$5:$A$370,"&gt;="&amp;DATE($B$2,11,1),'Registro Diario'!$A$5:$A$370,"&lt;"&amp;EDATE(DATE($B$2,11,1),1))</f>
        <v>0</v>
      </c>
      <c r="D23" s="31">
        <f>SUMIFS('Registro Diario'!$N$5:$N$370,'Registro Diario'!$A$5:$A$370,"&gt;="&amp;DATE($B$2,11,1),'Registro Diario'!$A$5:$A$370,"&lt;"&amp;EDATE(DATE($B$2,11,1),1))</f>
        <v>0</v>
      </c>
      <c r="E23" s="31">
        <f>SUMIFS('Registro Diario'!$O$5:$O$370,'Registro Diario'!$A$5:$A$370,"&gt;="&amp;DATE($B$2,11,1),'Registro Diario'!$A$5:$A$370,"&lt;"&amp;EDATE(DATE($B$2,11,1),1))</f>
        <v>0</v>
      </c>
      <c r="F23" s="5">
        <f>IFERROR(E23/B23,0)</f>
        <v>0</v>
      </c>
      <c r="G23" s="31">
        <f>SUMIFS('Registro Diario'!$T$5:$T$370,'Registro Diario'!$A$5:$A$370,"&gt;="&amp;DATE($B$2,11,1),'Registro Diario'!$A$5:$A$370,"&lt;"&amp;EDATE(DATE($B$2,11,1),1))</f>
        <v>0</v>
      </c>
      <c r="H23" s="4"/>
      <c r="I23" s="4"/>
      <c r="J23" s="4"/>
      <c r="K23" s="4"/>
      <c r="L23" s="4"/>
      <c r="M23" s="4"/>
      <c r="N23" s="4"/>
      <c r="O23" s="4"/>
    </row>
    <row r="24" spans="1:15" x14ac:dyDescent="0.3">
      <c r="A24" s="4" t="s">
        <v>53</v>
      </c>
      <c r="B24" s="31">
        <f>SUMIFS('Registro Diario'!$L$5:$L$370,'Registro Diario'!$A$5:$A$370,"&gt;="&amp;DATE($B$2,12,1),'Registro Diario'!$A$5:$A$370,"&lt;"&amp;EDATE(DATE($B$2,12,1),1))</f>
        <v>0</v>
      </c>
      <c r="C24" s="31">
        <f>SUMIFS('Registro Diario'!$M$5:$M$370,'Registro Diario'!$A$5:$A$370,"&gt;="&amp;DATE($B$2,12,1),'Registro Diario'!$A$5:$A$370,"&lt;"&amp;EDATE(DATE($B$2,12,1),1))</f>
        <v>0</v>
      </c>
      <c r="D24" s="31">
        <f>SUMIFS('Registro Diario'!$N$5:$N$370,'Registro Diario'!$A$5:$A$370,"&gt;="&amp;DATE($B$2,12,1),'Registro Diario'!$A$5:$A$370,"&lt;"&amp;EDATE(DATE($B$2,12,1),1))</f>
        <v>0</v>
      </c>
      <c r="E24" s="31">
        <f>SUMIFS('Registro Diario'!$O$5:$O$370,'Registro Diario'!$A$5:$A$370,"&gt;="&amp;DATE($B$2,12,1),'Registro Diario'!$A$5:$A$370,"&lt;"&amp;EDATE(DATE($B$2,12,1),1))</f>
        <v>0</v>
      </c>
      <c r="F24" s="5">
        <f>IFERROR(E24/B24,0)</f>
        <v>0</v>
      </c>
      <c r="G24" s="31">
        <f>SUMIFS('Registro Diario'!$T$5:$T$370,'Registro Diario'!$A$5:$A$370,"&gt;="&amp;DATE($B$2,12,1),'Registro Diario'!$A$5:$A$370,"&lt;"&amp;EDATE(DATE($B$2,12,1),1))</f>
        <v>0</v>
      </c>
      <c r="H24" s="4"/>
      <c r="I24" s="4"/>
      <c r="J24" s="4"/>
      <c r="K24" s="4"/>
      <c r="L24" s="4"/>
      <c r="M24" s="4"/>
      <c r="N24" s="4"/>
      <c r="O24" s="4"/>
    </row>
    <row r="25" spans="1:15" x14ac:dyDescent="0.3">
      <c r="A25" s="19" t="s">
        <v>54</v>
      </c>
      <c r="B25" s="32">
        <f>SUM(B13:B24)</f>
        <v>330000</v>
      </c>
      <c r="C25" s="32">
        <f>SUM(C13:C24)</f>
        <v>275364</v>
      </c>
      <c r="D25" s="32">
        <f>SUM(D13:D24)</f>
        <v>0</v>
      </c>
      <c r="E25" s="32">
        <f>SUM(E13:E24)</f>
        <v>54636</v>
      </c>
      <c r="F25" s="20">
        <f>IFERROR(E25/B25,0)</f>
        <v>0.16556363636363636</v>
      </c>
      <c r="G25" s="32">
        <f>SUM(G13:G24)</f>
        <v>0</v>
      </c>
      <c r="H25" s="4"/>
      <c r="I25" s="4"/>
      <c r="J25" s="4"/>
      <c r="K25" s="4"/>
      <c r="L25" s="4"/>
      <c r="M25" s="4"/>
      <c r="N25" s="4"/>
      <c r="O25" s="4"/>
    </row>
    <row r="26" spans="1:1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1:1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1:15" x14ac:dyDescent="0.3">
      <c r="A28" s="8" t="s">
        <v>55</v>
      </c>
      <c r="B28" s="8"/>
      <c r="C28" s="8"/>
      <c r="D28" s="8"/>
      <c r="E28" s="8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3">
      <c r="A30" s="18" t="s">
        <v>2</v>
      </c>
      <c r="B30" s="18" t="s">
        <v>56</v>
      </c>
      <c r="C30" s="18" t="s">
        <v>61</v>
      </c>
      <c r="D30" s="18" t="s">
        <v>66</v>
      </c>
      <c r="E30" s="18" t="s">
        <v>57</v>
      </c>
      <c r="F30" s="47" t="s">
        <v>9</v>
      </c>
      <c r="G30" s="47" t="s">
        <v>67</v>
      </c>
      <c r="H30" s="4"/>
      <c r="I30" s="4"/>
      <c r="J30" s="4"/>
      <c r="K30" s="4"/>
      <c r="L30" s="4"/>
      <c r="M30" s="4"/>
      <c r="N30" s="4"/>
      <c r="O30" s="4"/>
    </row>
    <row r="31" spans="1:15" x14ac:dyDescent="0.3">
      <c r="A31" s="4" t="s">
        <v>11</v>
      </c>
      <c r="B31" s="6">
        <f>SUM('Registro Diario'!$C$5:$C$370)</f>
        <v>5</v>
      </c>
      <c r="C31" s="31">
        <f>B31*'Menu Productos'!$F$5</f>
        <v>50000</v>
      </c>
      <c r="D31" s="31">
        <f>B31*'Menu Productos'!$G$5</f>
        <v>7430</v>
      </c>
      <c r="E31" s="5">
        <f>IFERROR(C31/SUM($C$31:$C$38),0)</f>
        <v>0.15151515151515152</v>
      </c>
      <c r="F31" s="5">
        <f>'Menu Productos'!H5</f>
        <v>0.14860000000000001</v>
      </c>
      <c r="G31" s="4" t="str">
        <f>IF(B31=0,"SIN VENTAS",IF(F31&lt;15%,"REVISAR",IF(F31&lt;=25%,"ACEPTABLE","SALUDABLE")))</f>
        <v>REVISAR</v>
      </c>
      <c r="H31" s="4"/>
      <c r="I31" s="4"/>
      <c r="J31" s="4"/>
      <c r="K31" s="4"/>
      <c r="L31" s="4"/>
      <c r="M31" s="4"/>
      <c r="N31" s="4"/>
      <c r="O31" s="4"/>
    </row>
    <row r="32" spans="1:15" x14ac:dyDescent="0.3">
      <c r="A32" s="4" t="s">
        <v>12</v>
      </c>
      <c r="B32" s="6">
        <f>SUM('Registro Diario'!$D$5:$D$370)</f>
        <v>1</v>
      </c>
      <c r="C32" s="31">
        <f>B32*'Menu Productos'!$F$6</f>
        <v>12500</v>
      </c>
      <c r="D32" s="31">
        <f>B32*'Menu Productos'!$G$6</f>
        <v>2486</v>
      </c>
      <c r="E32" s="5">
        <f>IFERROR(C32/SUM($C$31:$C$38),0)</f>
        <v>3.787878787878788E-2</v>
      </c>
      <c r="F32" s="5">
        <f>'Menu Productos'!H6</f>
        <v>0.19888</v>
      </c>
      <c r="G32" s="4" t="str">
        <f t="shared" ref="G32:G38" si="0">IF(B32=0,"SIN VENTAS",IF(F32&lt;15%,"REVISAR",IF(F32&lt;=25%,"ACEPTABLE","SALUDABLE")))</f>
        <v>ACEPTABLE</v>
      </c>
      <c r="H32" s="4"/>
      <c r="I32" s="4"/>
      <c r="J32" s="4"/>
      <c r="K32" s="4"/>
      <c r="L32" s="4"/>
      <c r="M32" s="4"/>
      <c r="N32" s="4"/>
      <c r="O32" s="4"/>
    </row>
    <row r="33" spans="1:15" x14ac:dyDescent="0.3">
      <c r="A33" s="4" t="s">
        <v>13</v>
      </c>
      <c r="B33" s="6">
        <f>SUM('Registro Diario'!$E$5:$E$370)</f>
        <v>5</v>
      </c>
      <c r="C33" s="31">
        <f>B33*'Menu Productos'!$F$7</f>
        <v>110000</v>
      </c>
      <c r="D33" s="31">
        <f>B33*'Menu Productos'!$G$7</f>
        <v>17360</v>
      </c>
      <c r="E33" s="5">
        <f>IFERROR(C33/SUM($C$31:$C$38),0)</f>
        <v>0.33333333333333331</v>
      </c>
      <c r="F33" s="5">
        <f>'Menu Productos'!H7</f>
        <v>0.15781818181818183</v>
      </c>
      <c r="G33" s="4" t="str">
        <f t="shared" si="0"/>
        <v>ACEPTABLE</v>
      </c>
      <c r="H33" s="4"/>
      <c r="I33" s="4"/>
      <c r="J33" s="4"/>
      <c r="K33" s="4"/>
      <c r="L33" s="4"/>
      <c r="M33" s="4"/>
      <c r="N33" s="4"/>
      <c r="O33" s="4"/>
    </row>
    <row r="34" spans="1:15" x14ac:dyDescent="0.3">
      <c r="A34" s="4" t="s">
        <v>14</v>
      </c>
      <c r="B34" s="6">
        <f>SUM('Registro Diario'!$F$5:$F$370)</f>
        <v>10</v>
      </c>
      <c r="C34" s="31">
        <f>B34*'Menu Productos'!$F$8</f>
        <v>100000</v>
      </c>
      <c r="D34" s="31">
        <f>B34*'Menu Productos'!$G$8</f>
        <v>14860</v>
      </c>
      <c r="E34" s="5">
        <f>IFERROR(C34/SUM($C$31:$C$38),0)</f>
        <v>0.30303030303030304</v>
      </c>
      <c r="F34" s="5">
        <f>'Menu Productos'!H8</f>
        <v>0.14860000000000001</v>
      </c>
      <c r="G34" s="4" t="str">
        <f t="shared" si="0"/>
        <v>REVISAR</v>
      </c>
      <c r="H34" s="4"/>
      <c r="I34" s="4"/>
      <c r="J34" s="4"/>
      <c r="K34" s="4"/>
      <c r="L34" s="4"/>
      <c r="M34" s="4"/>
      <c r="N34" s="4"/>
      <c r="O34" s="4"/>
    </row>
    <row r="35" spans="1:15" x14ac:dyDescent="0.3">
      <c r="A35" s="4" t="s">
        <v>15</v>
      </c>
      <c r="B35" s="6">
        <f>SUM('Registro Diario'!$G$5:$G$370)</f>
        <v>3</v>
      </c>
      <c r="C35" s="31">
        <f>B35*'Menu Productos'!$F$9</f>
        <v>39000</v>
      </c>
      <c r="D35" s="31">
        <f>B35*'Menu Productos'!$G$9</f>
        <v>7500</v>
      </c>
      <c r="E35" s="5">
        <f>IFERROR(C35/SUM($C$31:$C$38),0)</f>
        <v>0.11818181818181818</v>
      </c>
      <c r="F35" s="5">
        <f>'Menu Productos'!H9</f>
        <v>0.19230769230769232</v>
      </c>
      <c r="G35" s="4" t="str">
        <f t="shared" si="0"/>
        <v>ACEPTABLE</v>
      </c>
      <c r="H35" s="4"/>
      <c r="I35" s="4"/>
      <c r="J35" s="4"/>
      <c r="K35" s="4"/>
      <c r="L35" s="4"/>
      <c r="M35" s="4"/>
      <c r="N35" s="4"/>
      <c r="O35" s="4"/>
    </row>
    <row r="36" spans="1:15" x14ac:dyDescent="0.3">
      <c r="A36" s="4" t="s">
        <v>16</v>
      </c>
      <c r="B36" s="6">
        <f>SUM('Registro Diario'!$H$5:$H$370)</f>
        <v>0</v>
      </c>
      <c r="C36" s="31">
        <f>B36*'Menu Productos'!$F$10</f>
        <v>0</v>
      </c>
      <c r="D36" s="31">
        <f>B36*'Menu Productos'!$G$10</f>
        <v>0</v>
      </c>
      <c r="E36" s="5">
        <f>IFERROR(C36/SUM($C$31:$C$38),0)</f>
        <v>0</v>
      </c>
      <c r="F36" s="5">
        <f>'Menu Productos'!H10</f>
        <v>0.23076923076923078</v>
      </c>
      <c r="G36" s="4" t="str">
        <f t="shared" si="0"/>
        <v>SIN VENTAS</v>
      </c>
      <c r="H36" s="4"/>
      <c r="I36" s="4"/>
      <c r="J36" s="4"/>
      <c r="K36" s="4"/>
      <c r="L36" s="4"/>
      <c r="M36" s="4"/>
      <c r="N36" s="4"/>
      <c r="O36" s="4"/>
    </row>
    <row r="37" spans="1:15" x14ac:dyDescent="0.3">
      <c r="A37" s="4" t="s">
        <v>17</v>
      </c>
      <c r="B37" s="6">
        <f>SUM('Registro Diario'!$I$5:$I$370)</f>
        <v>15</v>
      </c>
      <c r="C37" s="31">
        <f>B37*'Menu Productos'!$F$11</f>
        <v>4500</v>
      </c>
      <c r="D37" s="31">
        <f>B37*'Menu Productos'!$G$11</f>
        <v>1500</v>
      </c>
      <c r="E37" s="5">
        <f>IFERROR(C37/SUM($C$31:$C$38),0)</f>
        <v>1.3636363636363636E-2</v>
      </c>
      <c r="F37" s="5">
        <f>'Menu Productos'!H11</f>
        <v>0.33333333333333331</v>
      </c>
      <c r="G37" s="4" t="str">
        <f t="shared" si="0"/>
        <v>SALUDABLE</v>
      </c>
      <c r="H37" s="4"/>
      <c r="I37" s="4"/>
      <c r="J37" s="4"/>
      <c r="K37" s="4"/>
      <c r="L37" s="4"/>
      <c r="M37" s="4"/>
      <c r="N37" s="4"/>
      <c r="O37" s="4"/>
    </row>
    <row r="38" spans="1:15" x14ac:dyDescent="0.3">
      <c r="A38" s="4" t="s">
        <v>18</v>
      </c>
      <c r="B38" s="6">
        <f>SUM('Registro Diario'!$J$5:$J$370)</f>
        <v>7</v>
      </c>
      <c r="C38" s="31">
        <f>B38*'Menu Productos'!$F$12</f>
        <v>14000</v>
      </c>
      <c r="D38" s="31">
        <f>B38*'Menu Productos'!$G$12</f>
        <v>3500</v>
      </c>
      <c r="E38" s="5">
        <f>IFERROR(C38/SUM($C$31:$C$38),0)</f>
        <v>4.2424242424242427E-2</v>
      </c>
      <c r="F38" s="5">
        <f>'Menu Productos'!H12</f>
        <v>0.25</v>
      </c>
      <c r="G38" s="4" t="str">
        <f t="shared" si="0"/>
        <v>ACEPTABLE</v>
      </c>
      <c r="H38" s="4"/>
      <c r="I38" s="4"/>
      <c r="J38" s="4"/>
      <c r="K38" s="4"/>
      <c r="L38" s="4"/>
      <c r="M38" s="4"/>
      <c r="N38" s="4"/>
      <c r="O38" s="4"/>
    </row>
    <row r="39" spans="1:15" x14ac:dyDescent="0.3">
      <c r="A39" s="19" t="s">
        <v>54</v>
      </c>
      <c r="B39" s="21">
        <f>SUM(B31:B38)</f>
        <v>46</v>
      </c>
      <c r="C39" s="32">
        <f>SUM(C31:C38)</f>
        <v>330000</v>
      </c>
      <c r="D39" s="32">
        <f>SUM(D31:D38)</f>
        <v>54636</v>
      </c>
      <c r="E39" s="20">
        <f>SUM(E31:E38)</f>
        <v>1</v>
      </c>
      <c r="F39" s="5">
        <f>IFERROR(D39/C39,0)</f>
        <v>0.16556363636363636</v>
      </c>
      <c r="G39" s="4" t="s">
        <v>77</v>
      </c>
      <c r="H39" s="4"/>
      <c r="I39" s="4"/>
      <c r="J39" s="4"/>
      <c r="K39" s="4"/>
      <c r="L39" s="4"/>
      <c r="M39" s="4"/>
      <c r="N39" s="4"/>
      <c r="O39" s="4"/>
    </row>
    <row r="42" spans="1:15" ht="25.95" customHeight="1" x14ac:dyDescent="0.3">
      <c r="A42" s="40" t="s">
        <v>78</v>
      </c>
      <c r="B42" s="40"/>
      <c r="C42" s="40"/>
      <c r="E42" s="40" t="s">
        <v>82</v>
      </c>
      <c r="F42" s="40"/>
      <c r="G42" s="40"/>
      <c r="I42" s="40" t="s">
        <v>87</v>
      </c>
      <c r="J42" s="40"/>
      <c r="K42" s="40"/>
      <c r="L42" s="40"/>
      <c r="M42" s="40"/>
      <c r="N42" s="40"/>
      <c r="O42" s="40"/>
    </row>
    <row r="43" spans="1:15" ht="21" customHeight="1" x14ac:dyDescent="0.3"/>
    <row r="44" spans="1:15" ht="21" customHeight="1" x14ac:dyDescent="0.3">
      <c r="A44" s="41" t="s">
        <v>79</v>
      </c>
      <c r="B44" s="41" t="s">
        <v>80</v>
      </c>
      <c r="C44" s="41" t="s">
        <v>81</v>
      </c>
      <c r="E44" s="42" t="s">
        <v>83</v>
      </c>
      <c r="F44">
        <f>COUNTIF('Registro Diario'!$K$5:$K$370,"&gt;0")</f>
        <v>1</v>
      </c>
      <c r="I44" s="42" t="s">
        <v>88</v>
      </c>
      <c r="J44" s="42"/>
      <c r="K44" s="42"/>
      <c r="L44" s="42"/>
      <c r="M44" s="51">
        <f>'Metas y Control'!C23</f>
        <v>4356000.0000000009</v>
      </c>
      <c r="N44" s="44"/>
      <c r="O44" s="44"/>
    </row>
    <row r="45" spans="1:15" ht="21" customHeight="1" x14ac:dyDescent="0.3">
      <c r="A45" t="s">
        <v>27</v>
      </c>
      <c r="B45" s="33">
        <f>SUM('Registro Diario'!$P$5:$P$370)</f>
        <v>300000</v>
      </c>
      <c r="C45" s="1">
        <f>IFERROR(B45/$B$48,0)</f>
        <v>0.90909090909090906</v>
      </c>
      <c r="E45" s="42" t="s">
        <v>84</v>
      </c>
      <c r="F45" s="33">
        <f>IFERROR(SUM('Registro Diario'!$L$5:$L$370)/F44,0)</f>
        <v>330000</v>
      </c>
      <c r="I45" s="42" t="s">
        <v>89</v>
      </c>
      <c r="J45" s="42"/>
      <c r="K45" s="42"/>
      <c r="L45" s="42"/>
      <c r="M45" s="46">
        <f>IFERROR(A5/M44,0)</f>
        <v>7.5757575757575746E-2</v>
      </c>
      <c r="N45" s="44"/>
      <c r="O45" s="44"/>
    </row>
    <row r="46" spans="1:15" ht="21" customHeight="1" x14ac:dyDescent="0.3">
      <c r="A46" t="s">
        <v>28</v>
      </c>
      <c r="B46" s="33">
        <f>SUM('Registro Diario'!$Q$5:$Q$370)</f>
        <v>0</v>
      </c>
      <c r="C46" s="1">
        <f t="shared" ref="C46:C47" si="1">IFERROR(B46/$B$48,0)</f>
        <v>0</v>
      </c>
      <c r="E46" s="42" t="s">
        <v>85</v>
      </c>
      <c r="F46" s="2">
        <f>SUM('Registro Diario'!$K$5:$K$370)</f>
        <v>46</v>
      </c>
      <c r="I46" s="42" t="s">
        <v>90</v>
      </c>
      <c r="J46" s="42"/>
      <c r="K46" s="42"/>
      <c r="L46" s="42"/>
      <c r="M46" s="51">
        <f>IFERROR(A5/COUNTIF(B13:B24,"&gt;0")*12,0)</f>
        <v>3960000</v>
      </c>
      <c r="N46" s="44"/>
      <c r="O46" s="44"/>
    </row>
    <row r="47" spans="1:15" ht="21" customHeight="1" x14ac:dyDescent="0.3">
      <c r="A47" t="s">
        <v>29</v>
      </c>
      <c r="B47" s="33">
        <f>SUM('Registro Diario'!$R$5:$R$370)</f>
        <v>30000</v>
      </c>
      <c r="C47" s="1">
        <f t="shared" si="1"/>
        <v>9.0909090909090912E-2</v>
      </c>
      <c r="E47" s="42" t="s">
        <v>76</v>
      </c>
      <c r="F47">
        <f ca="1">COUNTIF('Registro Diario'!$V$5:$V$370,"REVISAR CAJA")</f>
        <v>0</v>
      </c>
      <c r="I47" s="42" t="s">
        <v>91</v>
      </c>
      <c r="J47" s="42"/>
      <c r="K47" s="42"/>
      <c r="L47" s="42"/>
      <c r="M47" s="51">
        <f>'Metas y Control'!H23</f>
        <v>0</v>
      </c>
      <c r="N47" s="44"/>
      <c r="O47" s="44"/>
    </row>
    <row r="48" spans="1:15" ht="21" customHeight="1" x14ac:dyDescent="0.3">
      <c r="A48" s="42" t="s">
        <v>54</v>
      </c>
      <c r="B48" s="43">
        <f>SUM(B45:B47)</f>
        <v>330000</v>
      </c>
      <c r="C48" s="45">
        <f>SUM(C45:C47)</f>
        <v>1</v>
      </c>
      <c r="E48" s="42" t="s">
        <v>86</v>
      </c>
      <c r="F48">
        <f ca="1">COUNTIFS('Registro Diario'!$A$5:$A$370,"&lt;="&amp;TODAY(),'Registro Diario'!$V$5:$V$370,"SIN MOVIMIENTO")</f>
        <v>265</v>
      </c>
    </row>
  </sheetData>
  <mergeCells count="21">
    <mergeCell ref="M44:O44"/>
    <mergeCell ref="M45:O45"/>
    <mergeCell ref="M46:O46"/>
    <mergeCell ref="M47:O47"/>
    <mergeCell ref="A10:G10"/>
    <mergeCell ref="A28:E28"/>
    <mergeCell ref="M4:O4"/>
    <mergeCell ref="M5:O7"/>
    <mergeCell ref="A42:C42"/>
    <mergeCell ref="E42:G42"/>
    <mergeCell ref="I42:O42"/>
    <mergeCell ref="A1:O1"/>
    <mergeCell ref="D2:H2"/>
    <mergeCell ref="A4:C4"/>
    <mergeCell ref="A5:C7"/>
    <mergeCell ref="D4:F4"/>
    <mergeCell ref="D5:F7"/>
    <mergeCell ref="G4:I4"/>
    <mergeCell ref="G5:I7"/>
    <mergeCell ref="J4:L4"/>
    <mergeCell ref="J5:L7"/>
  </mergeCells>
  <conditionalFormatting sqref="F13:F24">
    <cfRule type="colorScale" priority="1">
      <colorScale>
        <cfvo type="min"/>
        <cfvo type="num" val="0.15"/>
        <cfvo type="max"/>
        <color rgb="FFF8696B"/>
        <color rgb="FFFFEB84"/>
        <color rgb="FF63BE7B"/>
      </colorScale>
    </cfRule>
  </conditionalFormatting>
  <conditionalFormatting sqref="E31:E3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{3002B841-33E9-4F1C-AB49-11EEF1CA2ADC}</x14:id>
        </ext>
      </extLst>
    </cfRule>
  </conditionalFormatting>
  <conditionalFormatting sqref="F31:F38">
    <cfRule type="expression" dxfId="17" priority="3">
      <formula>F31&lt;15%</formula>
    </cfRule>
  </conditionalFormatting>
  <conditionalFormatting sqref="F31:F38">
    <cfRule type="expression" dxfId="16" priority="4">
      <formula>AND(F31&gt;=15%,F31&lt;=25%)</formula>
    </cfRule>
  </conditionalFormatting>
  <conditionalFormatting sqref="F31:F38">
    <cfRule type="expression" dxfId="15" priority="5">
      <formula>F31&gt;25%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02B841-33E9-4F1C-AB49-11EEF1CA2ADC}">
            <x14:dataBar minLength="0" maxLength="100" negativeBarColorSameAsPositive="1" axisPosition="none">
              <x14:cfvo type="min"/>
              <x14:cfvo type="max"/>
            </x14:dataBar>
          </x14:cfRule>
          <xm:sqref>E31:E38</xm:sqref>
        </x14:conditionalFormatting>
        <x14:conditionalFormatting xmlns:xm="http://schemas.microsoft.com/office/excel/2006/main">
          <x14:cfRule type="expression" priority="6" id="{F91D8D0C-E1CF-4CF5-96A7-C4FFE97555C9}">
            <xm:f>ABS(G13)&gt;'Metas y Control'!$B$6</xm:f>
            <x14:dxf>
              <font>
                <color rgb="FF9C0006"/>
              </font>
              <fill>
                <patternFill patternType="solid">
                  <fgColor indexed="64"/>
                  <bgColor rgb="FFF4CCCC"/>
                </patternFill>
              </fill>
            </x14:dxf>
          </x14:cfRule>
          <xm:sqref>G13:G24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1445-84A1-4D11-905C-DB3E3ED8C4DF}">
  <dimension ref="A1:V370"/>
  <sheetViews>
    <sheetView tabSelected="1" topLeftCell="D1" workbookViewId="0">
      <pane ySplit="4" topLeftCell="A5" activePane="bottomLeft" state="frozen"/>
      <selection activeCell="D1" sqref="D1"/>
      <selection pane="bottomLeft" activeCell="P5" sqref="P5"/>
    </sheetView>
  </sheetViews>
  <sheetFormatPr baseColWidth="10" defaultRowHeight="14.4" x14ac:dyDescent="0.3"/>
  <cols>
    <col min="1" max="1" width="14.44140625" customWidth="1"/>
    <col min="2" max="2" width="13.6640625" customWidth="1"/>
    <col min="3" max="15" width="15.21875" customWidth="1"/>
    <col min="16" max="16" width="12.21875" bestFit="1" customWidth="1"/>
    <col min="17" max="18" width="18.6640625" bestFit="1" customWidth="1"/>
    <col min="19" max="19" width="18.88671875" bestFit="1" customWidth="1"/>
    <col min="20" max="20" width="19.6640625" bestFit="1" customWidth="1"/>
    <col min="21" max="21" width="28.109375" customWidth="1"/>
    <col min="22" max="22" width="16.6640625" customWidth="1"/>
  </cols>
  <sheetData>
    <row r="1" spans="1:22" ht="23.4" x14ac:dyDescent="0.45">
      <c r="A1" s="22" t="s">
        <v>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2" x14ac:dyDescent="0.3">
      <c r="A2" s="23" t="s">
        <v>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2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2" x14ac:dyDescent="0.3">
      <c r="A4" s="4" t="s">
        <v>21</v>
      </c>
      <c r="B4" s="4" t="s">
        <v>22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17</v>
      </c>
      <c r="J4" s="4" t="s">
        <v>18</v>
      </c>
      <c r="K4" s="4" t="s">
        <v>23</v>
      </c>
      <c r="L4" s="4" t="s">
        <v>24</v>
      </c>
      <c r="M4" s="4" t="s">
        <v>6</v>
      </c>
      <c r="N4" s="4" t="s">
        <v>25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  <c r="V4" s="36" t="s">
        <v>67</v>
      </c>
    </row>
    <row r="5" spans="1:22" x14ac:dyDescent="0.3">
      <c r="A5" s="25">
        <f>DATE(Dashboard!$B$2,1,1)</f>
        <v>46023</v>
      </c>
      <c r="B5" s="26" t="str">
        <f>IF(A5="","",TEXT(A5,"mmmm"))</f>
        <v>enero</v>
      </c>
      <c r="C5" s="24">
        <v>5</v>
      </c>
      <c r="D5" s="24">
        <v>1</v>
      </c>
      <c r="E5" s="24">
        <v>5</v>
      </c>
      <c r="F5" s="24">
        <v>10</v>
      </c>
      <c r="G5" s="24">
        <v>3</v>
      </c>
      <c r="H5" s="24">
        <v>0</v>
      </c>
      <c r="I5" s="24">
        <v>15</v>
      </c>
      <c r="J5" s="24">
        <v>7</v>
      </c>
      <c r="K5" s="27">
        <f>IF(A5="","",SUM(C5:J5))</f>
        <v>46</v>
      </c>
      <c r="L5" s="28">
        <f>IF(A5="","",C5*'Menu Productos'!$F$5+D5*'Menu Productos'!$F$6+E5*'Menu Productos'!$F$7+F5*'Menu Productos'!$F$8+G5*'Menu Productos'!$F$9+H5*'Menu Productos'!$F$10+I5*'Menu Productos'!$F$11+J5*'Menu Productos'!$F$12)</f>
        <v>330000</v>
      </c>
      <c r="M5" s="28">
        <f>IF(A5="","",C5*'Menu Productos'!$E$5+D5*'Menu Productos'!$E$6+E5*'Menu Productos'!$E$7+F5*'Menu Productos'!$E$8+G5*'Menu Productos'!$E$9+H5*'Menu Productos'!$E$10+I5*'Menu Productos'!$E$11+J5*'Menu Productos'!$E$12)</f>
        <v>275364</v>
      </c>
      <c r="N5" s="29"/>
      <c r="O5" s="28">
        <f>IF(A5="","",L5-M5-N5)</f>
        <v>54636</v>
      </c>
      <c r="P5" s="29">
        <v>300000</v>
      </c>
      <c r="Q5" s="29" t="s">
        <v>255</v>
      </c>
      <c r="R5" s="29">
        <v>30000</v>
      </c>
      <c r="S5" s="28">
        <f>IF(A5="","",SUM(P5:R5))</f>
        <v>330000</v>
      </c>
      <c r="T5" s="28">
        <f>IF(A5="","",S5-(L5-N5))</f>
        <v>0</v>
      </c>
      <c r="U5" s="12"/>
      <c r="V5" s="12" t="str">
        <f ca="1">IF(A5&gt;TODAY(),"FUTURO",IF(AND(K5=0,N5=0,S5=0),"SIN MOVIMIENTO",IF(ABS(T5)&lt;='Metas y Control'!$B$6,"OK","REVISAR CAJA")))</f>
        <v>OK</v>
      </c>
    </row>
    <row r="6" spans="1:22" x14ac:dyDescent="0.3">
      <c r="A6" s="25">
        <f>IF(YEAR(A5+1)=Dashboard!$B$2,A5+1,"")</f>
        <v>46024</v>
      </c>
      <c r="B6" s="26" t="str">
        <f t="shared" ref="B6:B69" si="0">IF(A6="","",TEXT(A6,"mmmm"))</f>
        <v>enero</v>
      </c>
      <c r="C6" s="24"/>
      <c r="D6" s="24"/>
      <c r="E6" s="24"/>
      <c r="F6" s="24"/>
      <c r="G6" s="24"/>
      <c r="H6" s="24"/>
      <c r="I6" s="24"/>
      <c r="J6" s="24"/>
      <c r="K6" s="27">
        <f t="shared" ref="K6:K69" si="1">IF(A6="","",SUM(C6:J6))</f>
        <v>0</v>
      </c>
      <c r="L6" s="28">
        <f>IF(A6="","",C6*'Menu Productos'!$F$5+D6*'Menu Productos'!$F$6+E6*'Menu Productos'!$F$7+F6*'Menu Productos'!$F$8+G6*'Menu Productos'!$F$9+H6*'Menu Productos'!$F$10+I6*'Menu Productos'!$F$11+J6*'Menu Productos'!$F$12)</f>
        <v>0</v>
      </c>
      <c r="M6" s="28">
        <f>IF(A6="","",C6*'Menu Productos'!$E$5+D6*'Menu Productos'!$E$6+E6*'Menu Productos'!$E$7+F6*'Menu Productos'!$E$8+G6*'Menu Productos'!$E$9+H6*'Menu Productos'!$E$10+I6*'Menu Productos'!$E$11+J6*'Menu Productos'!$E$12)</f>
        <v>0</v>
      </c>
      <c r="N6" s="29"/>
      <c r="O6" s="28">
        <f t="shared" ref="O6:O69" si="2">IF(A6="","",L6-M6-N6)</f>
        <v>0</v>
      </c>
      <c r="P6" s="29"/>
      <c r="Q6" s="29"/>
      <c r="R6" s="29"/>
      <c r="S6" s="28">
        <f t="shared" ref="S6:S69" si="3">IF(A6="","",SUM(P6:R6))</f>
        <v>0</v>
      </c>
      <c r="T6" s="28">
        <f t="shared" ref="T6:T69" si="4">IF(A6="","",S6-(L6-N6))</f>
        <v>0</v>
      </c>
      <c r="U6" s="12"/>
      <c r="V6" s="12" t="str">
        <f ca="1">IF(A6&gt;TODAY(),"FUTURO",IF(AND(K6=0,N6=0,S6=0),"SIN MOVIMIENTO",IF(ABS(T6)&lt;='Metas y Control'!$B$6,"OK","REVISAR CAJA")))</f>
        <v>SIN MOVIMIENTO</v>
      </c>
    </row>
    <row r="7" spans="1:22" x14ac:dyDescent="0.3">
      <c r="A7" s="25">
        <f>IF(YEAR(A6+1)=Dashboard!$B$2,A6+1,"")</f>
        <v>46025</v>
      </c>
      <c r="B7" s="26" t="str">
        <f t="shared" si="0"/>
        <v>enero</v>
      </c>
      <c r="C7" s="24"/>
      <c r="D7" s="24"/>
      <c r="E7" s="24"/>
      <c r="F7" s="24"/>
      <c r="G7" s="24"/>
      <c r="H7" s="24"/>
      <c r="I7" s="24"/>
      <c r="J7" s="24"/>
      <c r="K7" s="27">
        <f t="shared" si="1"/>
        <v>0</v>
      </c>
      <c r="L7" s="28">
        <f>IF(A7="","",C7*'Menu Productos'!$F$5+D7*'Menu Productos'!$F$6+E7*'Menu Productos'!$F$7+F7*'Menu Productos'!$F$8+G7*'Menu Productos'!$F$9+H7*'Menu Productos'!$F$10+I7*'Menu Productos'!$F$11+J7*'Menu Productos'!$F$12)</f>
        <v>0</v>
      </c>
      <c r="M7" s="28">
        <f>IF(A7="","",C7*'Menu Productos'!$E$5+D7*'Menu Productos'!$E$6+E7*'Menu Productos'!$E$7+F7*'Menu Productos'!$E$8+G7*'Menu Productos'!$E$9+H7*'Menu Productos'!$E$10+I7*'Menu Productos'!$E$11+J7*'Menu Productos'!$E$12)</f>
        <v>0</v>
      </c>
      <c r="N7" s="29"/>
      <c r="O7" s="28">
        <f t="shared" si="2"/>
        <v>0</v>
      </c>
      <c r="P7" s="29"/>
      <c r="Q7" s="29"/>
      <c r="R7" s="29"/>
      <c r="S7" s="28">
        <f t="shared" si="3"/>
        <v>0</v>
      </c>
      <c r="T7" s="28">
        <f t="shared" si="4"/>
        <v>0</v>
      </c>
      <c r="U7" s="12"/>
      <c r="V7" s="12" t="str">
        <f ca="1">IF(A7&gt;TODAY(),"FUTURO",IF(AND(K7=0,N7=0,S7=0),"SIN MOVIMIENTO",IF(ABS(T7)&lt;='Metas y Control'!$B$6,"OK","REVISAR CAJA")))</f>
        <v>SIN MOVIMIENTO</v>
      </c>
    </row>
    <row r="8" spans="1:22" x14ac:dyDescent="0.3">
      <c r="A8" s="25">
        <f>IF(YEAR(A7+1)=Dashboard!$B$2,A7+1,"")</f>
        <v>46026</v>
      </c>
      <c r="B8" s="26" t="str">
        <f t="shared" si="0"/>
        <v>enero</v>
      </c>
      <c r="C8" s="24"/>
      <c r="D8" s="24"/>
      <c r="E8" s="24"/>
      <c r="F8" s="24"/>
      <c r="G8" s="24"/>
      <c r="H8" s="24"/>
      <c r="I8" s="24"/>
      <c r="J8" s="24"/>
      <c r="K8" s="27">
        <f t="shared" si="1"/>
        <v>0</v>
      </c>
      <c r="L8" s="28">
        <f>IF(A8="","",C8*'Menu Productos'!$F$5+D8*'Menu Productos'!$F$6+E8*'Menu Productos'!$F$7+F8*'Menu Productos'!$F$8+G8*'Menu Productos'!$F$9+H8*'Menu Productos'!$F$10+I8*'Menu Productos'!$F$11+J8*'Menu Productos'!$F$12)</f>
        <v>0</v>
      </c>
      <c r="M8" s="28">
        <f>IF(A8="","",C8*'Menu Productos'!$E$5+D8*'Menu Productos'!$E$6+E8*'Menu Productos'!$E$7+F8*'Menu Productos'!$E$8+G8*'Menu Productos'!$E$9+H8*'Menu Productos'!$E$10+I8*'Menu Productos'!$E$11+J8*'Menu Productos'!$E$12)</f>
        <v>0</v>
      </c>
      <c r="N8" s="29"/>
      <c r="O8" s="28">
        <f t="shared" si="2"/>
        <v>0</v>
      </c>
      <c r="P8" s="29"/>
      <c r="Q8" s="29"/>
      <c r="R8" s="29"/>
      <c r="S8" s="28">
        <f t="shared" si="3"/>
        <v>0</v>
      </c>
      <c r="T8" s="28">
        <f t="shared" si="4"/>
        <v>0</v>
      </c>
      <c r="U8" s="12"/>
      <c r="V8" s="12" t="str">
        <f ca="1">IF(A8&gt;TODAY(),"FUTURO",IF(AND(K8=0,N8=0,S8=0),"SIN MOVIMIENTO",IF(ABS(T8)&lt;='Metas y Control'!$B$6,"OK","REVISAR CAJA")))</f>
        <v>SIN MOVIMIENTO</v>
      </c>
    </row>
    <row r="9" spans="1:22" x14ac:dyDescent="0.3">
      <c r="A9" s="25">
        <f>IF(YEAR(A8+1)=Dashboard!$B$2,A8+1,"")</f>
        <v>46027</v>
      </c>
      <c r="B9" s="26" t="str">
        <f t="shared" si="0"/>
        <v>enero</v>
      </c>
      <c r="C9" s="24"/>
      <c r="D9" s="24"/>
      <c r="E9" s="24"/>
      <c r="F9" s="24"/>
      <c r="G9" s="24"/>
      <c r="H9" s="24"/>
      <c r="I9" s="24"/>
      <c r="J9" s="24"/>
      <c r="K9" s="27">
        <f t="shared" si="1"/>
        <v>0</v>
      </c>
      <c r="L9" s="28">
        <f>IF(A9="","",C9*'Menu Productos'!$F$5+D9*'Menu Productos'!$F$6+E9*'Menu Productos'!$F$7+F9*'Menu Productos'!$F$8+G9*'Menu Productos'!$F$9+H9*'Menu Productos'!$F$10+I9*'Menu Productos'!$F$11+J9*'Menu Productos'!$F$12)</f>
        <v>0</v>
      </c>
      <c r="M9" s="28">
        <f>IF(A9="","",C9*'Menu Productos'!$E$5+D9*'Menu Productos'!$E$6+E9*'Menu Productos'!$E$7+F9*'Menu Productos'!$E$8+G9*'Menu Productos'!$E$9+H9*'Menu Productos'!$E$10+I9*'Menu Productos'!$E$11+J9*'Menu Productos'!$E$12)</f>
        <v>0</v>
      </c>
      <c r="N9" s="29"/>
      <c r="O9" s="28">
        <f t="shared" si="2"/>
        <v>0</v>
      </c>
      <c r="P9" s="29"/>
      <c r="Q9" s="29"/>
      <c r="R9" s="29"/>
      <c r="S9" s="28">
        <f t="shared" si="3"/>
        <v>0</v>
      </c>
      <c r="T9" s="28">
        <f t="shared" si="4"/>
        <v>0</v>
      </c>
      <c r="U9" s="12"/>
      <c r="V9" s="12" t="str">
        <f ca="1">IF(A9&gt;TODAY(),"FUTURO",IF(AND(K9=0,N9=0,S9=0),"SIN MOVIMIENTO",IF(ABS(T9)&lt;='Metas y Control'!$B$6,"OK","REVISAR CAJA")))</f>
        <v>SIN MOVIMIENTO</v>
      </c>
    </row>
    <row r="10" spans="1:22" x14ac:dyDescent="0.3">
      <c r="A10" s="25">
        <f>IF(YEAR(A9+1)=Dashboard!$B$2,A9+1,"")</f>
        <v>46028</v>
      </c>
      <c r="B10" s="26" t="str">
        <f t="shared" si="0"/>
        <v>enero</v>
      </c>
      <c r="C10" s="24"/>
      <c r="D10" s="24"/>
      <c r="E10" s="24"/>
      <c r="F10" s="24"/>
      <c r="G10" s="24"/>
      <c r="H10" s="24"/>
      <c r="I10" s="24"/>
      <c r="J10" s="24"/>
      <c r="K10" s="27">
        <f t="shared" si="1"/>
        <v>0</v>
      </c>
      <c r="L10" s="28">
        <f>IF(A10="","",C10*'Menu Productos'!$F$5+D10*'Menu Productos'!$F$6+E10*'Menu Productos'!$F$7+F10*'Menu Productos'!$F$8+G10*'Menu Productos'!$F$9+H10*'Menu Productos'!$F$10+I10*'Menu Productos'!$F$11+J10*'Menu Productos'!$F$12)</f>
        <v>0</v>
      </c>
      <c r="M10" s="28">
        <f>IF(A10="","",C10*'Menu Productos'!$E$5+D10*'Menu Productos'!$E$6+E10*'Menu Productos'!$E$7+F10*'Menu Productos'!$E$8+G10*'Menu Productos'!$E$9+H10*'Menu Productos'!$E$10+I10*'Menu Productos'!$E$11+J10*'Menu Productos'!$E$12)</f>
        <v>0</v>
      </c>
      <c r="N10" s="29"/>
      <c r="O10" s="28">
        <f t="shared" si="2"/>
        <v>0</v>
      </c>
      <c r="P10" s="29"/>
      <c r="Q10" s="29"/>
      <c r="R10" s="29"/>
      <c r="S10" s="28">
        <f t="shared" si="3"/>
        <v>0</v>
      </c>
      <c r="T10" s="28">
        <f t="shared" si="4"/>
        <v>0</v>
      </c>
      <c r="U10" s="12"/>
      <c r="V10" s="12" t="str">
        <f ca="1">IF(A10&gt;TODAY(),"FUTURO",IF(AND(K10=0,N10=0,S10=0),"SIN MOVIMIENTO",IF(ABS(T10)&lt;='Metas y Control'!$B$6,"OK","REVISAR CAJA")))</f>
        <v>SIN MOVIMIENTO</v>
      </c>
    </row>
    <row r="11" spans="1:22" x14ac:dyDescent="0.3">
      <c r="A11" s="25">
        <f>IF(YEAR(A10+1)=Dashboard!$B$2,A10+1,"")</f>
        <v>46029</v>
      </c>
      <c r="B11" s="26" t="str">
        <f t="shared" si="0"/>
        <v>enero</v>
      </c>
      <c r="C11" s="24"/>
      <c r="D11" s="24"/>
      <c r="E11" s="24"/>
      <c r="F11" s="24"/>
      <c r="G11" s="24"/>
      <c r="H11" s="24"/>
      <c r="I11" s="24"/>
      <c r="J11" s="24"/>
      <c r="K11" s="27">
        <f t="shared" si="1"/>
        <v>0</v>
      </c>
      <c r="L11" s="28">
        <f>IF(A11="","",C11*'Menu Productos'!$F$5+D11*'Menu Productos'!$F$6+E11*'Menu Productos'!$F$7+F11*'Menu Productos'!$F$8+G11*'Menu Productos'!$F$9+H11*'Menu Productos'!$F$10+I11*'Menu Productos'!$F$11+J11*'Menu Productos'!$F$12)</f>
        <v>0</v>
      </c>
      <c r="M11" s="28">
        <f>IF(A11="","",C11*'Menu Productos'!$E$5+D11*'Menu Productos'!$E$6+E11*'Menu Productos'!$E$7+F11*'Menu Productos'!$E$8+G11*'Menu Productos'!$E$9+H11*'Menu Productos'!$E$10+I11*'Menu Productos'!$E$11+J11*'Menu Productos'!$E$12)</f>
        <v>0</v>
      </c>
      <c r="N11" s="29"/>
      <c r="O11" s="28">
        <f t="shared" si="2"/>
        <v>0</v>
      </c>
      <c r="P11" s="29"/>
      <c r="Q11" s="29"/>
      <c r="R11" s="29"/>
      <c r="S11" s="28">
        <f t="shared" si="3"/>
        <v>0</v>
      </c>
      <c r="T11" s="28">
        <f t="shared" si="4"/>
        <v>0</v>
      </c>
      <c r="U11" s="12"/>
      <c r="V11" s="12" t="str">
        <f ca="1">IF(A11&gt;TODAY(),"FUTURO",IF(AND(K11=0,N11=0,S11=0),"SIN MOVIMIENTO",IF(ABS(T11)&lt;='Metas y Control'!$B$6,"OK","REVISAR CAJA")))</f>
        <v>SIN MOVIMIENTO</v>
      </c>
    </row>
    <row r="12" spans="1:22" x14ac:dyDescent="0.3">
      <c r="A12" s="25">
        <f>IF(YEAR(A11+1)=Dashboard!$B$2,A11+1,"")</f>
        <v>46030</v>
      </c>
      <c r="B12" s="26" t="str">
        <f t="shared" si="0"/>
        <v>enero</v>
      </c>
      <c r="C12" s="24"/>
      <c r="D12" s="24"/>
      <c r="E12" s="24"/>
      <c r="F12" s="24"/>
      <c r="G12" s="24"/>
      <c r="H12" s="24"/>
      <c r="I12" s="24"/>
      <c r="J12" s="24"/>
      <c r="K12" s="27">
        <f t="shared" si="1"/>
        <v>0</v>
      </c>
      <c r="L12" s="28">
        <f>IF(A12="","",C12*'Menu Productos'!$F$5+D12*'Menu Productos'!$F$6+E12*'Menu Productos'!$F$7+F12*'Menu Productos'!$F$8+G12*'Menu Productos'!$F$9+H12*'Menu Productos'!$F$10+I12*'Menu Productos'!$F$11+J12*'Menu Productos'!$F$12)</f>
        <v>0</v>
      </c>
      <c r="M12" s="28">
        <f>IF(A12="","",C12*'Menu Productos'!$E$5+D12*'Menu Productos'!$E$6+E12*'Menu Productos'!$E$7+F12*'Menu Productos'!$E$8+G12*'Menu Productos'!$E$9+H12*'Menu Productos'!$E$10+I12*'Menu Productos'!$E$11+J12*'Menu Productos'!$E$12)</f>
        <v>0</v>
      </c>
      <c r="N12" s="29"/>
      <c r="O12" s="28">
        <f t="shared" si="2"/>
        <v>0</v>
      </c>
      <c r="P12" s="29"/>
      <c r="Q12" s="29"/>
      <c r="R12" s="29"/>
      <c r="S12" s="28">
        <f t="shared" si="3"/>
        <v>0</v>
      </c>
      <c r="T12" s="28">
        <f t="shared" si="4"/>
        <v>0</v>
      </c>
      <c r="U12" s="12"/>
      <c r="V12" s="12" t="str">
        <f ca="1">IF(A12&gt;TODAY(),"FUTURO",IF(AND(K12=0,N12=0,S12=0),"SIN MOVIMIENTO",IF(ABS(T12)&lt;='Metas y Control'!$B$6,"OK","REVISAR CAJA")))</f>
        <v>SIN MOVIMIENTO</v>
      </c>
    </row>
    <row r="13" spans="1:22" x14ac:dyDescent="0.3">
      <c r="A13" s="25">
        <f>IF(YEAR(A12+1)=Dashboard!$B$2,A12+1,"")</f>
        <v>46031</v>
      </c>
      <c r="B13" s="26" t="str">
        <f t="shared" si="0"/>
        <v>enero</v>
      </c>
      <c r="C13" s="24"/>
      <c r="D13" s="24"/>
      <c r="E13" s="24"/>
      <c r="F13" s="24"/>
      <c r="G13" s="24"/>
      <c r="H13" s="24"/>
      <c r="I13" s="24"/>
      <c r="J13" s="24"/>
      <c r="K13" s="27">
        <f t="shared" si="1"/>
        <v>0</v>
      </c>
      <c r="L13" s="28">
        <f>IF(A13="","",C13*'Menu Productos'!$F$5+D13*'Menu Productos'!$F$6+E13*'Menu Productos'!$F$7+F13*'Menu Productos'!$F$8+G13*'Menu Productos'!$F$9+H13*'Menu Productos'!$F$10+I13*'Menu Productos'!$F$11+J13*'Menu Productos'!$F$12)</f>
        <v>0</v>
      </c>
      <c r="M13" s="28">
        <f>IF(A13="","",C13*'Menu Productos'!$E$5+D13*'Menu Productos'!$E$6+E13*'Menu Productos'!$E$7+F13*'Menu Productos'!$E$8+G13*'Menu Productos'!$E$9+H13*'Menu Productos'!$E$10+I13*'Menu Productos'!$E$11+J13*'Menu Productos'!$E$12)</f>
        <v>0</v>
      </c>
      <c r="N13" s="29"/>
      <c r="O13" s="28">
        <f t="shared" si="2"/>
        <v>0</v>
      </c>
      <c r="P13" s="29"/>
      <c r="Q13" s="29"/>
      <c r="R13" s="29"/>
      <c r="S13" s="28">
        <f t="shared" si="3"/>
        <v>0</v>
      </c>
      <c r="T13" s="28">
        <f t="shared" si="4"/>
        <v>0</v>
      </c>
      <c r="U13" s="12"/>
      <c r="V13" s="12" t="str">
        <f ca="1">IF(A13&gt;TODAY(),"FUTURO",IF(AND(K13=0,N13=0,S13=0),"SIN MOVIMIENTO",IF(ABS(T13)&lt;='Metas y Control'!$B$6,"OK","REVISAR CAJA")))</f>
        <v>SIN MOVIMIENTO</v>
      </c>
    </row>
    <row r="14" spans="1:22" x14ac:dyDescent="0.3">
      <c r="A14" s="25">
        <f>IF(YEAR(A13+1)=Dashboard!$B$2,A13+1,"")</f>
        <v>46032</v>
      </c>
      <c r="B14" s="26" t="str">
        <f t="shared" si="0"/>
        <v>enero</v>
      </c>
      <c r="C14" s="24"/>
      <c r="D14" s="24"/>
      <c r="E14" s="24"/>
      <c r="F14" s="24"/>
      <c r="G14" s="24"/>
      <c r="H14" s="24"/>
      <c r="I14" s="24"/>
      <c r="J14" s="24"/>
      <c r="K14" s="27">
        <f t="shared" si="1"/>
        <v>0</v>
      </c>
      <c r="L14" s="28">
        <f>IF(A14="","",C14*'Menu Productos'!$F$5+D14*'Menu Productos'!$F$6+E14*'Menu Productos'!$F$7+F14*'Menu Productos'!$F$8+G14*'Menu Productos'!$F$9+H14*'Menu Productos'!$F$10+I14*'Menu Productos'!$F$11+J14*'Menu Productos'!$F$12)</f>
        <v>0</v>
      </c>
      <c r="M14" s="28">
        <f>IF(A14="","",C14*'Menu Productos'!$E$5+D14*'Menu Productos'!$E$6+E14*'Menu Productos'!$E$7+F14*'Menu Productos'!$E$8+G14*'Menu Productos'!$E$9+H14*'Menu Productos'!$E$10+I14*'Menu Productos'!$E$11+J14*'Menu Productos'!$E$12)</f>
        <v>0</v>
      </c>
      <c r="N14" s="29"/>
      <c r="O14" s="28">
        <f t="shared" si="2"/>
        <v>0</v>
      </c>
      <c r="P14" s="29"/>
      <c r="Q14" s="29"/>
      <c r="R14" s="29"/>
      <c r="S14" s="28">
        <f t="shared" si="3"/>
        <v>0</v>
      </c>
      <c r="T14" s="28">
        <f t="shared" si="4"/>
        <v>0</v>
      </c>
      <c r="U14" s="12"/>
      <c r="V14" s="12" t="str">
        <f ca="1">IF(A14&gt;TODAY(),"FUTURO",IF(AND(K14=0,N14=0,S14=0),"SIN MOVIMIENTO",IF(ABS(T14)&lt;='Metas y Control'!$B$6,"OK","REVISAR CAJA")))</f>
        <v>SIN MOVIMIENTO</v>
      </c>
    </row>
    <row r="15" spans="1:22" x14ac:dyDescent="0.3">
      <c r="A15" s="25">
        <f>IF(YEAR(A14+1)=Dashboard!$B$2,A14+1,"")</f>
        <v>46033</v>
      </c>
      <c r="B15" s="26" t="str">
        <f t="shared" si="0"/>
        <v>enero</v>
      </c>
      <c r="C15" s="24"/>
      <c r="D15" s="24"/>
      <c r="E15" s="24"/>
      <c r="F15" s="24"/>
      <c r="G15" s="24"/>
      <c r="H15" s="24"/>
      <c r="I15" s="24"/>
      <c r="J15" s="24"/>
      <c r="K15" s="27">
        <f t="shared" si="1"/>
        <v>0</v>
      </c>
      <c r="L15" s="28">
        <f>IF(A15="","",C15*'Menu Productos'!$F$5+D15*'Menu Productos'!$F$6+E15*'Menu Productos'!$F$7+F15*'Menu Productos'!$F$8+G15*'Menu Productos'!$F$9+H15*'Menu Productos'!$F$10+I15*'Menu Productos'!$F$11+J15*'Menu Productos'!$F$12)</f>
        <v>0</v>
      </c>
      <c r="M15" s="28">
        <f>IF(A15="","",C15*'Menu Productos'!$E$5+D15*'Menu Productos'!$E$6+E15*'Menu Productos'!$E$7+F15*'Menu Productos'!$E$8+G15*'Menu Productos'!$E$9+H15*'Menu Productos'!$E$10+I15*'Menu Productos'!$E$11+J15*'Menu Productos'!$E$12)</f>
        <v>0</v>
      </c>
      <c r="N15" s="29"/>
      <c r="O15" s="28">
        <f t="shared" si="2"/>
        <v>0</v>
      </c>
      <c r="P15" s="29"/>
      <c r="Q15" s="29"/>
      <c r="R15" s="29"/>
      <c r="S15" s="28">
        <f t="shared" si="3"/>
        <v>0</v>
      </c>
      <c r="T15" s="28">
        <f t="shared" si="4"/>
        <v>0</v>
      </c>
      <c r="U15" s="12"/>
      <c r="V15" s="12" t="str">
        <f ca="1">IF(A15&gt;TODAY(),"FUTURO",IF(AND(K15=0,N15=0,S15=0),"SIN MOVIMIENTO",IF(ABS(T15)&lt;='Metas y Control'!$B$6,"OK","REVISAR CAJA")))</f>
        <v>SIN MOVIMIENTO</v>
      </c>
    </row>
    <row r="16" spans="1:22" x14ac:dyDescent="0.3">
      <c r="A16" s="25">
        <f>IF(YEAR(A15+1)=Dashboard!$B$2,A15+1,"")</f>
        <v>46034</v>
      </c>
      <c r="B16" s="26" t="str">
        <f t="shared" si="0"/>
        <v>enero</v>
      </c>
      <c r="C16" s="24"/>
      <c r="D16" s="24"/>
      <c r="E16" s="24"/>
      <c r="F16" s="24"/>
      <c r="G16" s="24"/>
      <c r="H16" s="24"/>
      <c r="I16" s="24"/>
      <c r="J16" s="24"/>
      <c r="K16" s="27">
        <f t="shared" si="1"/>
        <v>0</v>
      </c>
      <c r="L16" s="28">
        <f>IF(A16="","",C16*'Menu Productos'!$F$5+D16*'Menu Productos'!$F$6+E16*'Menu Productos'!$F$7+F16*'Menu Productos'!$F$8+G16*'Menu Productos'!$F$9+H16*'Menu Productos'!$F$10+I16*'Menu Productos'!$F$11+J16*'Menu Productos'!$F$12)</f>
        <v>0</v>
      </c>
      <c r="M16" s="28">
        <f>IF(A16="","",C16*'Menu Productos'!$E$5+D16*'Menu Productos'!$E$6+E16*'Menu Productos'!$E$7+F16*'Menu Productos'!$E$8+G16*'Menu Productos'!$E$9+H16*'Menu Productos'!$E$10+I16*'Menu Productos'!$E$11+J16*'Menu Productos'!$E$12)</f>
        <v>0</v>
      </c>
      <c r="N16" s="29"/>
      <c r="O16" s="28">
        <f t="shared" si="2"/>
        <v>0</v>
      </c>
      <c r="P16" s="29"/>
      <c r="Q16" s="29"/>
      <c r="R16" s="29"/>
      <c r="S16" s="28">
        <f t="shared" si="3"/>
        <v>0</v>
      </c>
      <c r="T16" s="28">
        <f t="shared" si="4"/>
        <v>0</v>
      </c>
      <c r="U16" s="12"/>
      <c r="V16" s="12" t="str">
        <f ca="1">IF(A16&gt;TODAY(),"FUTURO",IF(AND(K16=0,N16=0,S16=0),"SIN MOVIMIENTO",IF(ABS(T16)&lt;='Metas y Control'!$B$6,"OK","REVISAR CAJA")))</f>
        <v>SIN MOVIMIENTO</v>
      </c>
    </row>
    <row r="17" spans="1:22" x14ac:dyDescent="0.3">
      <c r="A17" s="25">
        <f>IF(YEAR(A16+1)=Dashboard!$B$2,A16+1,"")</f>
        <v>46035</v>
      </c>
      <c r="B17" s="26" t="str">
        <f t="shared" si="0"/>
        <v>enero</v>
      </c>
      <c r="C17" s="24"/>
      <c r="D17" s="24"/>
      <c r="E17" s="24"/>
      <c r="F17" s="24"/>
      <c r="G17" s="24"/>
      <c r="H17" s="24"/>
      <c r="I17" s="24"/>
      <c r="J17" s="24"/>
      <c r="K17" s="27">
        <f t="shared" si="1"/>
        <v>0</v>
      </c>
      <c r="L17" s="28">
        <f>IF(A17="","",C17*'Menu Productos'!$F$5+D17*'Menu Productos'!$F$6+E17*'Menu Productos'!$F$7+F17*'Menu Productos'!$F$8+G17*'Menu Productos'!$F$9+H17*'Menu Productos'!$F$10+I17*'Menu Productos'!$F$11+J17*'Menu Productos'!$F$12)</f>
        <v>0</v>
      </c>
      <c r="M17" s="28">
        <f>IF(A17="","",C17*'Menu Productos'!$E$5+D17*'Menu Productos'!$E$6+E17*'Menu Productos'!$E$7+F17*'Menu Productos'!$E$8+G17*'Menu Productos'!$E$9+H17*'Menu Productos'!$E$10+I17*'Menu Productos'!$E$11+J17*'Menu Productos'!$E$12)</f>
        <v>0</v>
      </c>
      <c r="N17" s="29"/>
      <c r="O17" s="28">
        <f t="shared" si="2"/>
        <v>0</v>
      </c>
      <c r="P17" s="29"/>
      <c r="Q17" s="29"/>
      <c r="R17" s="29"/>
      <c r="S17" s="28">
        <f t="shared" si="3"/>
        <v>0</v>
      </c>
      <c r="T17" s="28">
        <f t="shared" si="4"/>
        <v>0</v>
      </c>
      <c r="U17" s="12"/>
      <c r="V17" s="12" t="str">
        <f ca="1">IF(A17&gt;TODAY(),"FUTURO",IF(AND(K17=0,N17=0,S17=0),"SIN MOVIMIENTO",IF(ABS(T17)&lt;='Metas y Control'!$B$6,"OK","REVISAR CAJA")))</f>
        <v>SIN MOVIMIENTO</v>
      </c>
    </row>
    <row r="18" spans="1:22" x14ac:dyDescent="0.3">
      <c r="A18" s="25">
        <f>IF(YEAR(A17+1)=Dashboard!$B$2,A17+1,"")</f>
        <v>46036</v>
      </c>
      <c r="B18" s="26" t="str">
        <f t="shared" si="0"/>
        <v>enero</v>
      </c>
      <c r="C18" s="24"/>
      <c r="D18" s="24"/>
      <c r="E18" s="24"/>
      <c r="F18" s="24"/>
      <c r="G18" s="24"/>
      <c r="H18" s="24"/>
      <c r="I18" s="24"/>
      <c r="J18" s="24"/>
      <c r="K18" s="27">
        <f t="shared" si="1"/>
        <v>0</v>
      </c>
      <c r="L18" s="28">
        <f>IF(A18="","",C18*'Menu Productos'!$F$5+D18*'Menu Productos'!$F$6+E18*'Menu Productos'!$F$7+F18*'Menu Productos'!$F$8+G18*'Menu Productos'!$F$9+H18*'Menu Productos'!$F$10+I18*'Menu Productos'!$F$11+J18*'Menu Productos'!$F$12)</f>
        <v>0</v>
      </c>
      <c r="M18" s="28">
        <f>IF(A18="","",C18*'Menu Productos'!$E$5+D18*'Menu Productos'!$E$6+E18*'Menu Productos'!$E$7+F18*'Menu Productos'!$E$8+G18*'Menu Productos'!$E$9+H18*'Menu Productos'!$E$10+I18*'Menu Productos'!$E$11+J18*'Menu Productos'!$E$12)</f>
        <v>0</v>
      </c>
      <c r="N18" s="29"/>
      <c r="O18" s="28">
        <f t="shared" si="2"/>
        <v>0</v>
      </c>
      <c r="P18" s="29"/>
      <c r="Q18" s="29"/>
      <c r="R18" s="29"/>
      <c r="S18" s="28">
        <f t="shared" si="3"/>
        <v>0</v>
      </c>
      <c r="T18" s="28">
        <f t="shared" si="4"/>
        <v>0</v>
      </c>
      <c r="U18" s="12"/>
      <c r="V18" s="12" t="str">
        <f ca="1">IF(A18&gt;TODAY(),"FUTURO",IF(AND(K18=0,N18=0,S18=0),"SIN MOVIMIENTO",IF(ABS(T18)&lt;='Metas y Control'!$B$6,"OK","REVISAR CAJA")))</f>
        <v>SIN MOVIMIENTO</v>
      </c>
    </row>
    <row r="19" spans="1:22" x14ac:dyDescent="0.3">
      <c r="A19" s="25">
        <f>IF(YEAR(A18+1)=Dashboard!$B$2,A18+1,"")</f>
        <v>46037</v>
      </c>
      <c r="B19" s="26" t="str">
        <f t="shared" si="0"/>
        <v>enero</v>
      </c>
      <c r="C19" s="24"/>
      <c r="D19" s="24"/>
      <c r="E19" s="24"/>
      <c r="F19" s="24"/>
      <c r="G19" s="24"/>
      <c r="H19" s="24"/>
      <c r="I19" s="24"/>
      <c r="J19" s="24"/>
      <c r="K19" s="27">
        <f t="shared" si="1"/>
        <v>0</v>
      </c>
      <c r="L19" s="28">
        <f>IF(A19="","",C19*'Menu Productos'!$F$5+D19*'Menu Productos'!$F$6+E19*'Menu Productos'!$F$7+F19*'Menu Productos'!$F$8+G19*'Menu Productos'!$F$9+H19*'Menu Productos'!$F$10+I19*'Menu Productos'!$F$11+J19*'Menu Productos'!$F$12)</f>
        <v>0</v>
      </c>
      <c r="M19" s="28">
        <f>IF(A19="","",C19*'Menu Productos'!$E$5+D19*'Menu Productos'!$E$6+E19*'Menu Productos'!$E$7+F19*'Menu Productos'!$E$8+G19*'Menu Productos'!$E$9+H19*'Menu Productos'!$E$10+I19*'Menu Productos'!$E$11+J19*'Menu Productos'!$E$12)</f>
        <v>0</v>
      </c>
      <c r="N19" s="29"/>
      <c r="O19" s="28">
        <f t="shared" si="2"/>
        <v>0</v>
      </c>
      <c r="P19" s="29"/>
      <c r="Q19" s="29"/>
      <c r="R19" s="29"/>
      <c r="S19" s="28">
        <f t="shared" si="3"/>
        <v>0</v>
      </c>
      <c r="T19" s="28">
        <f t="shared" si="4"/>
        <v>0</v>
      </c>
      <c r="U19" s="12"/>
      <c r="V19" s="12" t="str">
        <f ca="1">IF(A19&gt;TODAY(),"FUTURO",IF(AND(K19=0,N19=0,S19=0),"SIN MOVIMIENTO",IF(ABS(T19)&lt;='Metas y Control'!$B$6,"OK","REVISAR CAJA")))</f>
        <v>SIN MOVIMIENTO</v>
      </c>
    </row>
    <row r="20" spans="1:22" x14ac:dyDescent="0.3">
      <c r="A20" s="25">
        <f>IF(YEAR(A19+1)=Dashboard!$B$2,A19+1,"")</f>
        <v>46038</v>
      </c>
      <c r="B20" s="26" t="str">
        <f t="shared" si="0"/>
        <v>enero</v>
      </c>
      <c r="C20" s="24"/>
      <c r="D20" s="24"/>
      <c r="E20" s="24"/>
      <c r="F20" s="24"/>
      <c r="G20" s="24"/>
      <c r="H20" s="24"/>
      <c r="I20" s="24"/>
      <c r="J20" s="24"/>
      <c r="K20" s="27">
        <f t="shared" si="1"/>
        <v>0</v>
      </c>
      <c r="L20" s="28">
        <f>IF(A20="","",C20*'Menu Productos'!$F$5+D20*'Menu Productos'!$F$6+E20*'Menu Productos'!$F$7+F20*'Menu Productos'!$F$8+G20*'Menu Productos'!$F$9+H20*'Menu Productos'!$F$10+I20*'Menu Productos'!$F$11+J20*'Menu Productos'!$F$12)</f>
        <v>0</v>
      </c>
      <c r="M20" s="28">
        <f>IF(A20="","",C20*'Menu Productos'!$E$5+D20*'Menu Productos'!$E$6+E20*'Menu Productos'!$E$7+F20*'Menu Productos'!$E$8+G20*'Menu Productos'!$E$9+H20*'Menu Productos'!$E$10+I20*'Menu Productos'!$E$11+J20*'Menu Productos'!$E$12)</f>
        <v>0</v>
      </c>
      <c r="N20" s="29"/>
      <c r="O20" s="28">
        <f t="shared" si="2"/>
        <v>0</v>
      </c>
      <c r="P20" s="29"/>
      <c r="Q20" s="29"/>
      <c r="R20" s="29"/>
      <c r="S20" s="28">
        <f t="shared" si="3"/>
        <v>0</v>
      </c>
      <c r="T20" s="28">
        <f t="shared" si="4"/>
        <v>0</v>
      </c>
      <c r="U20" s="12"/>
      <c r="V20" s="12" t="str">
        <f ca="1">IF(A20&gt;TODAY(),"FUTURO",IF(AND(K20=0,N20=0,S20=0),"SIN MOVIMIENTO",IF(ABS(T20)&lt;='Metas y Control'!$B$6,"OK","REVISAR CAJA")))</f>
        <v>SIN MOVIMIENTO</v>
      </c>
    </row>
    <row r="21" spans="1:22" x14ac:dyDescent="0.3">
      <c r="A21" s="25">
        <f>IF(YEAR(A20+1)=Dashboard!$B$2,A20+1,"")</f>
        <v>46039</v>
      </c>
      <c r="B21" s="26" t="str">
        <f t="shared" si="0"/>
        <v>enero</v>
      </c>
      <c r="C21" s="24"/>
      <c r="D21" s="24"/>
      <c r="E21" s="24"/>
      <c r="F21" s="24"/>
      <c r="G21" s="24"/>
      <c r="H21" s="24"/>
      <c r="I21" s="24"/>
      <c r="J21" s="24"/>
      <c r="K21" s="27">
        <f t="shared" si="1"/>
        <v>0</v>
      </c>
      <c r="L21" s="28">
        <f>IF(A21="","",C21*'Menu Productos'!$F$5+D21*'Menu Productos'!$F$6+E21*'Menu Productos'!$F$7+F21*'Menu Productos'!$F$8+G21*'Menu Productos'!$F$9+H21*'Menu Productos'!$F$10+I21*'Menu Productos'!$F$11+J21*'Menu Productos'!$F$12)</f>
        <v>0</v>
      </c>
      <c r="M21" s="28">
        <f>IF(A21="","",C21*'Menu Productos'!$E$5+D21*'Menu Productos'!$E$6+E21*'Menu Productos'!$E$7+F21*'Menu Productos'!$E$8+G21*'Menu Productos'!$E$9+H21*'Menu Productos'!$E$10+I21*'Menu Productos'!$E$11+J21*'Menu Productos'!$E$12)</f>
        <v>0</v>
      </c>
      <c r="N21" s="29"/>
      <c r="O21" s="28">
        <f t="shared" si="2"/>
        <v>0</v>
      </c>
      <c r="P21" s="29"/>
      <c r="Q21" s="29"/>
      <c r="R21" s="29"/>
      <c r="S21" s="28">
        <f t="shared" si="3"/>
        <v>0</v>
      </c>
      <c r="T21" s="28">
        <f t="shared" si="4"/>
        <v>0</v>
      </c>
      <c r="U21" s="12"/>
      <c r="V21" s="12" t="str">
        <f ca="1">IF(A21&gt;TODAY(),"FUTURO",IF(AND(K21=0,N21=0,S21=0),"SIN MOVIMIENTO",IF(ABS(T21)&lt;='Metas y Control'!$B$6,"OK","REVISAR CAJA")))</f>
        <v>SIN MOVIMIENTO</v>
      </c>
    </row>
    <row r="22" spans="1:22" x14ac:dyDescent="0.3">
      <c r="A22" s="25">
        <f>IF(YEAR(A21+1)=Dashboard!$B$2,A21+1,"")</f>
        <v>46040</v>
      </c>
      <c r="B22" s="26" t="str">
        <f t="shared" si="0"/>
        <v>enero</v>
      </c>
      <c r="C22" s="24"/>
      <c r="D22" s="24"/>
      <c r="E22" s="24"/>
      <c r="F22" s="24"/>
      <c r="G22" s="24"/>
      <c r="H22" s="24"/>
      <c r="I22" s="24"/>
      <c r="J22" s="24"/>
      <c r="K22" s="27">
        <f t="shared" si="1"/>
        <v>0</v>
      </c>
      <c r="L22" s="28">
        <f>IF(A22="","",C22*'Menu Productos'!$F$5+D22*'Menu Productos'!$F$6+E22*'Menu Productos'!$F$7+F22*'Menu Productos'!$F$8+G22*'Menu Productos'!$F$9+H22*'Menu Productos'!$F$10+I22*'Menu Productos'!$F$11+J22*'Menu Productos'!$F$12)</f>
        <v>0</v>
      </c>
      <c r="M22" s="28">
        <f>IF(A22="","",C22*'Menu Productos'!$E$5+D22*'Menu Productos'!$E$6+E22*'Menu Productos'!$E$7+F22*'Menu Productos'!$E$8+G22*'Menu Productos'!$E$9+H22*'Menu Productos'!$E$10+I22*'Menu Productos'!$E$11+J22*'Menu Productos'!$E$12)</f>
        <v>0</v>
      </c>
      <c r="N22" s="29"/>
      <c r="O22" s="28">
        <f t="shared" si="2"/>
        <v>0</v>
      </c>
      <c r="P22" s="29"/>
      <c r="Q22" s="29"/>
      <c r="R22" s="29"/>
      <c r="S22" s="28">
        <f t="shared" si="3"/>
        <v>0</v>
      </c>
      <c r="T22" s="28">
        <f t="shared" si="4"/>
        <v>0</v>
      </c>
      <c r="U22" s="12"/>
      <c r="V22" s="12" t="str">
        <f ca="1">IF(A22&gt;TODAY(),"FUTURO",IF(AND(K22=0,N22=0,S22=0),"SIN MOVIMIENTO",IF(ABS(T22)&lt;='Metas y Control'!$B$6,"OK","REVISAR CAJA")))</f>
        <v>SIN MOVIMIENTO</v>
      </c>
    </row>
    <row r="23" spans="1:22" x14ac:dyDescent="0.3">
      <c r="A23" s="25">
        <f>IF(YEAR(A22+1)=Dashboard!$B$2,A22+1,"")</f>
        <v>46041</v>
      </c>
      <c r="B23" s="26" t="str">
        <f t="shared" si="0"/>
        <v>enero</v>
      </c>
      <c r="C23" s="24"/>
      <c r="D23" s="24"/>
      <c r="E23" s="24"/>
      <c r="F23" s="24"/>
      <c r="G23" s="24"/>
      <c r="H23" s="24"/>
      <c r="I23" s="24"/>
      <c r="J23" s="24"/>
      <c r="K23" s="27">
        <f t="shared" si="1"/>
        <v>0</v>
      </c>
      <c r="L23" s="28">
        <f>IF(A23="","",C23*'Menu Productos'!$F$5+D23*'Menu Productos'!$F$6+E23*'Menu Productos'!$F$7+F23*'Menu Productos'!$F$8+G23*'Menu Productos'!$F$9+H23*'Menu Productos'!$F$10+I23*'Menu Productos'!$F$11+J23*'Menu Productos'!$F$12)</f>
        <v>0</v>
      </c>
      <c r="M23" s="28">
        <f>IF(A23="","",C23*'Menu Productos'!$E$5+D23*'Menu Productos'!$E$6+E23*'Menu Productos'!$E$7+F23*'Menu Productos'!$E$8+G23*'Menu Productos'!$E$9+H23*'Menu Productos'!$E$10+I23*'Menu Productos'!$E$11+J23*'Menu Productos'!$E$12)</f>
        <v>0</v>
      </c>
      <c r="N23" s="29"/>
      <c r="O23" s="28">
        <f t="shared" si="2"/>
        <v>0</v>
      </c>
      <c r="P23" s="29"/>
      <c r="Q23" s="29"/>
      <c r="R23" s="29"/>
      <c r="S23" s="28">
        <f t="shared" si="3"/>
        <v>0</v>
      </c>
      <c r="T23" s="28">
        <f t="shared" si="4"/>
        <v>0</v>
      </c>
      <c r="U23" s="12"/>
      <c r="V23" s="12" t="str">
        <f ca="1">IF(A23&gt;TODAY(),"FUTURO",IF(AND(K23=0,N23=0,S23=0),"SIN MOVIMIENTO",IF(ABS(T23)&lt;='Metas y Control'!$B$6,"OK","REVISAR CAJA")))</f>
        <v>SIN MOVIMIENTO</v>
      </c>
    </row>
    <row r="24" spans="1:22" x14ac:dyDescent="0.3">
      <c r="A24" s="25">
        <f>IF(YEAR(A23+1)=Dashboard!$B$2,A23+1,"")</f>
        <v>46042</v>
      </c>
      <c r="B24" s="26" t="str">
        <f t="shared" si="0"/>
        <v>enero</v>
      </c>
      <c r="C24" s="24"/>
      <c r="D24" s="24"/>
      <c r="E24" s="24"/>
      <c r="F24" s="24"/>
      <c r="G24" s="24"/>
      <c r="H24" s="24"/>
      <c r="I24" s="24"/>
      <c r="J24" s="24"/>
      <c r="K24" s="27">
        <f t="shared" si="1"/>
        <v>0</v>
      </c>
      <c r="L24" s="28">
        <f>IF(A24="","",C24*'Menu Productos'!$F$5+D24*'Menu Productos'!$F$6+E24*'Menu Productos'!$F$7+F24*'Menu Productos'!$F$8+G24*'Menu Productos'!$F$9+H24*'Menu Productos'!$F$10+I24*'Menu Productos'!$F$11+J24*'Menu Productos'!$F$12)</f>
        <v>0</v>
      </c>
      <c r="M24" s="28">
        <f>IF(A24="","",C24*'Menu Productos'!$E$5+D24*'Menu Productos'!$E$6+E24*'Menu Productos'!$E$7+F24*'Menu Productos'!$E$8+G24*'Menu Productos'!$E$9+H24*'Menu Productos'!$E$10+I24*'Menu Productos'!$E$11+J24*'Menu Productos'!$E$12)</f>
        <v>0</v>
      </c>
      <c r="N24" s="29"/>
      <c r="O24" s="28">
        <f t="shared" si="2"/>
        <v>0</v>
      </c>
      <c r="P24" s="29"/>
      <c r="Q24" s="29"/>
      <c r="R24" s="29"/>
      <c r="S24" s="28">
        <f t="shared" si="3"/>
        <v>0</v>
      </c>
      <c r="T24" s="28">
        <f t="shared" si="4"/>
        <v>0</v>
      </c>
      <c r="U24" s="12"/>
      <c r="V24" s="12" t="str">
        <f ca="1">IF(A24&gt;TODAY(),"FUTURO",IF(AND(K24=0,N24=0,S24=0),"SIN MOVIMIENTO",IF(ABS(T24)&lt;='Metas y Control'!$B$6,"OK","REVISAR CAJA")))</f>
        <v>SIN MOVIMIENTO</v>
      </c>
    </row>
    <row r="25" spans="1:22" x14ac:dyDescent="0.3">
      <c r="A25" s="25">
        <f>IF(YEAR(A24+1)=Dashboard!$B$2,A24+1,"")</f>
        <v>46043</v>
      </c>
      <c r="B25" s="26" t="str">
        <f t="shared" si="0"/>
        <v>enero</v>
      </c>
      <c r="C25" s="24"/>
      <c r="D25" s="24"/>
      <c r="E25" s="24"/>
      <c r="F25" s="24"/>
      <c r="G25" s="24"/>
      <c r="H25" s="24"/>
      <c r="I25" s="24"/>
      <c r="J25" s="24"/>
      <c r="K25" s="27">
        <f t="shared" si="1"/>
        <v>0</v>
      </c>
      <c r="L25" s="28">
        <f>IF(A25="","",C25*'Menu Productos'!$F$5+D25*'Menu Productos'!$F$6+E25*'Menu Productos'!$F$7+F25*'Menu Productos'!$F$8+G25*'Menu Productos'!$F$9+H25*'Menu Productos'!$F$10+I25*'Menu Productos'!$F$11+J25*'Menu Productos'!$F$12)</f>
        <v>0</v>
      </c>
      <c r="M25" s="28">
        <f>IF(A25="","",C25*'Menu Productos'!$E$5+D25*'Menu Productos'!$E$6+E25*'Menu Productos'!$E$7+F25*'Menu Productos'!$E$8+G25*'Menu Productos'!$E$9+H25*'Menu Productos'!$E$10+I25*'Menu Productos'!$E$11+J25*'Menu Productos'!$E$12)</f>
        <v>0</v>
      </c>
      <c r="N25" s="29"/>
      <c r="O25" s="28">
        <f t="shared" si="2"/>
        <v>0</v>
      </c>
      <c r="P25" s="29"/>
      <c r="Q25" s="29"/>
      <c r="R25" s="29"/>
      <c r="S25" s="28">
        <f t="shared" si="3"/>
        <v>0</v>
      </c>
      <c r="T25" s="28">
        <f t="shared" si="4"/>
        <v>0</v>
      </c>
      <c r="U25" s="12"/>
      <c r="V25" s="12" t="str">
        <f ca="1">IF(A25&gt;TODAY(),"FUTURO",IF(AND(K25=0,N25=0,S25=0),"SIN MOVIMIENTO",IF(ABS(T25)&lt;='Metas y Control'!$B$6,"OK","REVISAR CAJA")))</f>
        <v>SIN MOVIMIENTO</v>
      </c>
    </row>
    <row r="26" spans="1:22" x14ac:dyDescent="0.3">
      <c r="A26" s="25">
        <f>IF(YEAR(A25+1)=Dashboard!$B$2,A25+1,"")</f>
        <v>46044</v>
      </c>
      <c r="B26" s="26" t="str">
        <f t="shared" si="0"/>
        <v>enero</v>
      </c>
      <c r="C26" s="24"/>
      <c r="D26" s="24"/>
      <c r="E26" s="24"/>
      <c r="F26" s="24"/>
      <c r="G26" s="24"/>
      <c r="H26" s="24"/>
      <c r="I26" s="24"/>
      <c r="J26" s="24"/>
      <c r="K26" s="27">
        <f t="shared" si="1"/>
        <v>0</v>
      </c>
      <c r="L26" s="28">
        <f>IF(A26="","",C26*'Menu Productos'!$F$5+D26*'Menu Productos'!$F$6+E26*'Menu Productos'!$F$7+F26*'Menu Productos'!$F$8+G26*'Menu Productos'!$F$9+H26*'Menu Productos'!$F$10+I26*'Menu Productos'!$F$11+J26*'Menu Productos'!$F$12)</f>
        <v>0</v>
      </c>
      <c r="M26" s="28">
        <f>IF(A26="","",C26*'Menu Productos'!$E$5+D26*'Menu Productos'!$E$6+E26*'Menu Productos'!$E$7+F26*'Menu Productos'!$E$8+G26*'Menu Productos'!$E$9+H26*'Menu Productos'!$E$10+I26*'Menu Productos'!$E$11+J26*'Menu Productos'!$E$12)</f>
        <v>0</v>
      </c>
      <c r="N26" s="29"/>
      <c r="O26" s="28">
        <f t="shared" si="2"/>
        <v>0</v>
      </c>
      <c r="P26" s="29"/>
      <c r="Q26" s="29"/>
      <c r="R26" s="29"/>
      <c r="S26" s="28">
        <f t="shared" si="3"/>
        <v>0</v>
      </c>
      <c r="T26" s="28">
        <f t="shared" si="4"/>
        <v>0</v>
      </c>
      <c r="U26" s="12"/>
      <c r="V26" s="12" t="str">
        <f ca="1">IF(A26&gt;TODAY(),"FUTURO",IF(AND(K26=0,N26=0,S26=0),"SIN MOVIMIENTO",IF(ABS(T26)&lt;='Metas y Control'!$B$6,"OK","REVISAR CAJA")))</f>
        <v>SIN MOVIMIENTO</v>
      </c>
    </row>
    <row r="27" spans="1:22" x14ac:dyDescent="0.3">
      <c r="A27" s="25">
        <f>IF(YEAR(A26+1)=Dashboard!$B$2,A26+1,"")</f>
        <v>46045</v>
      </c>
      <c r="B27" s="26" t="str">
        <f t="shared" si="0"/>
        <v>enero</v>
      </c>
      <c r="C27" s="24"/>
      <c r="D27" s="24"/>
      <c r="E27" s="24"/>
      <c r="F27" s="24"/>
      <c r="G27" s="24"/>
      <c r="H27" s="24"/>
      <c r="I27" s="24"/>
      <c r="J27" s="24"/>
      <c r="K27" s="27">
        <f t="shared" si="1"/>
        <v>0</v>
      </c>
      <c r="L27" s="28">
        <f>IF(A27="","",C27*'Menu Productos'!$F$5+D27*'Menu Productos'!$F$6+E27*'Menu Productos'!$F$7+F27*'Menu Productos'!$F$8+G27*'Menu Productos'!$F$9+H27*'Menu Productos'!$F$10+I27*'Menu Productos'!$F$11+J27*'Menu Productos'!$F$12)</f>
        <v>0</v>
      </c>
      <c r="M27" s="28">
        <f>IF(A27="","",C27*'Menu Productos'!$E$5+D27*'Menu Productos'!$E$6+E27*'Menu Productos'!$E$7+F27*'Menu Productos'!$E$8+G27*'Menu Productos'!$E$9+H27*'Menu Productos'!$E$10+I27*'Menu Productos'!$E$11+J27*'Menu Productos'!$E$12)</f>
        <v>0</v>
      </c>
      <c r="N27" s="29"/>
      <c r="O27" s="28">
        <f t="shared" si="2"/>
        <v>0</v>
      </c>
      <c r="P27" s="29"/>
      <c r="Q27" s="29"/>
      <c r="R27" s="29"/>
      <c r="S27" s="28">
        <f t="shared" si="3"/>
        <v>0</v>
      </c>
      <c r="T27" s="28">
        <f t="shared" si="4"/>
        <v>0</v>
      </c>
      <c r="U27" s="12"/>
      <c r="V27" s="12" t="str">
        <f ca="1">IF(A27&gt;TODAY(),"FUTURO",IF(AND(K27=0,N27=0,S27=0),"SIN MOVIMIENTO",IF(ABS(T27)&lt;='Metas y Control'!$B$6,"OK","REVISAR CAJA")))</f>
        <v>SIN MOVIMIENTO</v>
      </c>
    </row>
    <row r="28" spans="1:22" x14ac:dyDescent="0.3">
      <c r="A28" s="25">
        <f>IF(YEAR(A27+1)=Dashboard!$B$2,A27+1,"")</f>
        <v>46046</v>
      </c>
      <c r="B28" s="26" t="str">
        <f t="shared" si="0"/>
        <v>enero</v>
      </c>
      <c r="C28" s="24"/>
      <c r="D28" s="24"/>
      <c r="E28" s="24"/>
      <c r="F28" s="24"/>
      <c r="G28" s="24"/>
      <c r="H28" s="24"/>
      <c r="I28" s="24"/>
      <c r="J28" s="24"/>
      <c r="K28" s="27">
        <f t="shared" si="1"/>
        <v>0</v>
      </c>
      <c r="L28" s="28">
        <f>IF(A28="","",C28*'Menu Productos'!$F$5+D28*'Menu Productos'!$F$6+E28*'Menu Productos'!$F$7+F28*'Menu Productos'!$F$8+G28*'Menu Productos'!$F$9+H28*'Menu Productos'!$F$10+I28*'Menu Productos'!$F$11+J28*'Menu Productos'!$F$12)</f>
        <v>0</v>
      </c>
      <c r="M28" s="28">
        <f>IF(A28="","",C28*'Menu Productos'!$E$5+D28*'Menu Productos'!$E$6+E28*'Menu Productos'!$E$7+F28*'Menu Productos'!$E$8+G28*'Menu Productos'!$E$9+H28*'Menu Productos'!$E$10+I28*'Menu Productos'!$E$11+J28*'Menu Productos'!$E$12)</f>
        <v>0</v>
      </c>
      <c r="N28" s="29"/>
      <c r="O28" s="28">
        <f t="shared" si="2"/>
        <v>0</v>
      </c>
      <c r="P28" s="29"/>
      <c r="Q28" s="29"/>
      <c r="R28" s="29"/>
      <c r="S28" s="28">
        <f t="shared" si="3"/>
        <v>0</v>
      </c>
      <c r="T28" s="28">
        <f t="shared" si="4"/>
        <v>0</v>
      </c>
      <c r="U28" s="12"/>
      <c r="V28" s="12" t="str">
        <f ca="1">IF(A28&gt;TODAY(),"FUTURO",IF(AND(K28=0,N28=0,S28=0),"SIN MOVIMIENTO",IF(ABS(T28)&lt;='Metas y Control'!$B$6,"OK","REVISAR CAJA")))</f>
        <v>SIN MOVIMIENTO</v>
      </c>
    </row>
    <row r="29" spans="1:22" x14ac:dyDescent="0.3">
      <c r="A29" s="25">
        <f>IF(YEAR(A28+1)=Dashboard!$B$2,A28+1,"")</f>
        <v>46047</v>
      </c>
      <c r="B29" s="26" t="str">
        <f t="shared" si="0"/>
        <v>enero</v>
      </c>
      <c r="C29" s="24"/>
      <c r="D29" s="24"/>
      <c r="E29" s="24"/>
      <c r="F29" s="24"/>
      <c r="G29" s="24"/>
      <c r="H29" s="24"/>
      <c r="I29" s="24"/>
      <c r="J29" s="24"/>
      <c r="K29" s="27">
        <f t="shared" si="1"/>
        <v>0</v>
      </c>
      <c r="L29" s="28">
        <f>IF(A29="","",C29*'Menu Productos'!$F$5+D29*'Menu Productos'!$F$6+E29*'Menu Productos'!$F$7+F29*'Menu Productos'!$F$8+G29*'Menu Productos'!$F$9+H29*'Menu Productos'!$F$10+I29*'Menu Productos'!$F$11+J29*'Menu Productos'!$F$12)</f>
        <v>0</v>
      </c>
      <c r="M29" s="28">
        <f>IF(A29="","",C29*'Menu Productos'!$E$5+D29*'Menu Productos'!$E$6+E29*'Menu Productos'!$E$7+F29*'Menu Productos'!$E$8+G29*'Menu Productos'!$E$9+H29*'Menu Productos'!$E$10+I29*'Menu Productos'!$E$11+J29*'Menu Productos'!$E$12)</f>
        <v>0</v>
      </c>
      <c r="N29" s="29"/>
      <c r="O29" s="28">
        <f t="shared" si="2"/>
        <v>0</v>
      </c>
      <c r="P29" s="29"/>
      <c r="Q29" s="29"/>
      <c r="R29" s="29"/>
      <c r="S29" s="28">
        <f t="shared" si="3"/>
        <v>0</v>
      </c>
      <c r="T29" s="28">
        <f t="shared" si="4"/>
        <v>0</v>
      </c>
      <c r="U29" s="12"/>
      <c r="V29" s="12" t="str">
        <f ca="1">IF(A29&gt;TODAY(),"FUTURO",IF(AND(K29=0,N29=0,S29=0),"SIN MOVIMIENTO",IF(ABS(T29)&lt;='Metas y Control'!$B$6,"OK","REVISAR CAJA")))</f>
        <v>SIN MOVIMIENTO</v>
      </c>
    </row>
    <row r="30" spans="1:22" x14ac:dyDescent="0.3">
      <c r="A30" s="25">
        <f>IF(YEAR(A29+1)=Dashboard!$B$2,A29+1,"")</f>
        <v>46048</v>
      </c>
      <c r="B30" s="26" t="str">
        <f t="shared" si="0"/>
        <v>enero</v>
      </c>
      <c r="C30" s="24"/>
      <c r="D30" s="24"/>
      <c r="E30" s="24"/>
      <c r="F30" s="24"/>
      <c r="G30" s="24"/>
      <c r="H30" s="24"/>
      <c r="I30" s="24"/>
      <c r="J30" s="24"/>
      <c r="K30" s="27">
        <f t="shared" si="1"/>
        <v>0</v>
      </c>
      <c r="L30" s="28">
        <f>IF(A30="","",C30*'Menu Productos'!$F$5+D30*'Menu Productos'!$F$6+E30*'Menu Productos'!$F$7+F30*'Menu Productos'!$F$8+G30*'Menu Productos'!$F$9+H30*'Menu Productos'!$F$10+I30*'Menu Productos'!$F$11+J30*'Menu Productos'!$F$12)</f>
        <v>0</v>
      </c>
      <c r="M30" s="28">
        <f>IF(A30="","",C30*'Menu Productos'!$E$5+D30*'Menu Productos'!$E$6+E30*'Menu Productos'!$E$7+F30*'Menu Productos'!$E$8+G30*'Menu Productos'!$E$9+H30*'Menu Productos'!$E$10+I30*'Menu Productos'!$E$11+J30*'Menu Productos'!$E$12)</f>
        <v>0</v>
      </c>
      <c r="N30" s="29"/>
      <c r="O30" s="28">
        <f t="shared" si="2"/>
        <v>0</v>
      </c>
      <c r="P30" s="29"/>
      <c r="Q30" s="29"/>
      <c r="R30" s="29"/>
      <c r="S30" s="28">
        <f t="shared" si="3"/>
        <v>0</v>
      </c>
      <c r="T30" s="28">
        <f t="shared" si="4"/>
        <v>0</v>
      </c>
      <c r="U30" s="12"/>
      <c r="V30" s="12" t="str">
        <f ca="1">IF(A30&gt;TODAY(),"FUTURO",IF(AND(K30=0,N30=0,S30=0),"SIN MOVIMIENTO",IF(ABS(T30)&lt;='Metas y Control'!$B$6,"OK","REVISAR CAJA")))</f>
        <v>SIN MOVIMIENTO</v>
      </c>
    </row>
    <row r="31" spans="1:22" x14ac:dyDescent="0.3">
      <c r="A31" s="25">
        <f>IF(YEAR(A30+1)=Dashboard!$B$2,A30+1,"")</f>
        <v>46049</v>
      </c>
      <c r="B31" s="26" t="str">
        <f t="shared" si="0"/>
        <v>enero</v>
      </c>
      <c r="C31" s="24"/>
      <c r="D31" s="24"/>
      <c r="E31" s="24"/>
      <c r="F31" s="24"/>
      <c r="G31" s="24"/>
      <c r="H31" s="24"/>
      <c r="I31" s="24"/>
      <c r="J31" s="24"/>
      <c r="K31" s="27">
        <f t="shared" si="1"/>
        <v>0</v>
      </c>
      <c r="L31" s="28">
        <f>IF(A31="","",C31*'Menu Productos'!$F$5+D31*'Menu Productos'!$F$6+E31*'Menu Productos'!$F$7+F31*'Menu Productos'!$F$8+G31*'Menu Productos'!$F$9+H31*'Menu Productos'!$F$10+I31*'Menu Productos'!$F$11+J31*'Menu Productos'!$F$12)</f>
        <v>0</v>
      </c>
      <c r="M31" s="28">
        <f>IF(A31="","",C31*'Menu Productos'!$E$5+D31*'Menu Productos'!$E$6+E31*'Menu Productos'!$E$7+F31*'Menu Productos'!$E$8+G31*'Menu Productos'!$E$9+H31*'Menu Productos'!$E$10+I31*'Menu Productos'!$E$11+J31*'Menu Productos'!$E$12)</f>
        <v>0</v>
      </c>
      <c r="N31" s="29"/>
      <c r="O31" s="28">
        <f t="shared" si="2"/>
        <v>0</v>
      </c>
      <c r="P31" s="29"/>
      <c r="Q31" s="29"/>
      <c r="R31" s="29"/>
      <c r="S31" s="28">
        <f t="shared" si="3"/>
        <v>0</v>
      </c>
      <c r="T31" s="28">
        <f t="shared" si="4"/>
        <v>0</v>
      </c>
      <c r="U31" s="12"/>
      <c r="V31" s="12" t="str">
        <f ca="1">IF(A31&gt;TODAY(),"FUTURO",IF(AND(K31=0,N31=0,S31=0),"SIN MOVIMIENTO",IF(ABS(T31)&lt;='Metas y Control'!$B$6,"OK","REVISAR CAJA")))</f>
        <v>SIN MOVIMIENTO</v>
      </c>
    </row>
    <row r="32" spans="1:22" x14ac:dyDescent="0.3">
      <c r="A32" s="25">
        <f>IF(YEAR(A31+1)=Dashboard!$B$2,A31+1,"")</f>
        <v>46050</v>
      </c>
      <c r="B32" s="26" t="str">
        <f t="shared" si="0"/>
        <v>enero</v>
      </c>
      <c r="C32" s="24"/>
      <c r="D32" s="24"/>
      <c r="E32" s="24"/>
      <c r="F32" s="24"/>
      <c r="G32" s="24"/>
      <c r="H32" s="24"/>
      <c r="I32" s="24"/>
      <c r="J32" s="24"/>
      <c r="K32" s="27">
        <f t="shared" si="1"/>
        <v>0</v>
      </c>
      <c r="L32" s="28">
        <f>IF(A32="","",C32*'Menu Productos'!$F$5+D32*'Menu Productos'!$F$6+E32*'Menu Productos'!$F$7+F32*'Menu Productos'!$F$8+G32*'Menu Productos'!$F$9+H32*'Menu Productos'!$F$10+I32*'Menu Productos'!$F$11+J32*'Menu Productos'!$F$12)</f>
        <v>0</v>
      </c>
      <c r="M32" s="28">
        <f>IF(A32="","",C32*'Menu Productos'!$E$5+D32*'Menu Productos'!$E$6+E32*'Menu Productos'!$E$7+F32*'Menu Productos'!$E$8+G32*'Menu Productos'!$E$9+H32*'Menu Productos'!$E$10+I32*'Menu Productos'!$E$11+J32*'Menu Productos'!$E$12)</f>
        <v>0</v>
      </c>
      <c r="N32" s="29"/>
      <c r="O32" s="28">
        <f t="shared" si="2"/>
        <v>0</v>
      </c>
      <c r="P32" s="29"/>
      <c r="Q32" s="29"/>
      <c r="R32" s="29"/>
      <c r="S32" s="28">
        <f t="shared" si="3"/>
        <v>0</v>
      </c>
      <c r="T32" s="28">
        <f t="shared" si="4"/>
        <v>0</v>
      </c>
      <c r="U32" s="12"/>
      <c r="V32" s="12" t="str">
        <f ca="1">IF(A32&gt;TODAY(),"FUTURO",IF(AND(K32=0,N32=0,S32=0),"SIN MOVIMIENTO",IF(ABS(T32)&lt;='Metas y Control'!$B$6,"OK","REVISAR CAJA")))</f>
        <v>SIN MOVIMIENTO</v>
      </c>
    </row>
    <row r="33" spans="1:22" x14ac:dyDescent="0.3">
      <c r="A33" s="25">
        <f>IF(YEAR(A32+1)=Dashboard!$B$2,A32+1,"")</f>
        <v>46051</v>
      </c>
      <c r="B33" s="26" t="str">
        <f t="shared" si="0"/>
        <v>enero</v>
      </c>
      <c r="C33" s="24"/>
      <c r="D33" s="24"/>
      <c r="E33" s="24"/>
      <c r="F33" s="24"/>
      <c r="G33" s="24"/>
      <c r="H33" s="24"/>
      <c r="I33" s="24"/>
      <c r="J33" s="24"/>
      <c r="K33" s="27">
        <f t="shared" si="1"/>
        <v>0</v>
      </c>
      <c r="L33" s="28">
        <f>IF(A33="","",C33*'Menu Productos'!$F$5+D33*'Menu Productos'!$F$6+E33*'Menu Productos'!$F$7+F33*'Menu Productos'!$F$8+G33*'Menu Productos'!$F$9+H33*'Menu Productos'!$F$10+I33*'Menu Productos'!$F$11+J33*'Menu Productos'!$F$12)</f>
        <v>0</v>
      </c>
      <c r="M33" s="28">
        <f>IF(A33="","",C33*'Menu Productos'!$E$5+D33*'Menu Productos'!$E$6+E33*'Menu Productos'!$E$7+F33*'Menu Productos'!$E$8+G33*'Menu Productos'!$E$9+H33*'Menu Productos'!$E$10+I33*'Menu Productos'!$E$11+J33*'Menu Productos'!$E$12)</f>
        <v>0</v>
      </c>
      <c r="N33" s="29"/>
      <c r="O33" s="28">
        <f t="shared" si="2"/>
        <v>0</v>
      </c>
      <c r="P33" s="29"/>
      <c r="Q33" s="29"/>
      <c r="R33" s="29"/>
      <c r="S33" s="28">
        <f t="shared" si="3"/>
        <v>0</v>
      </c>
      <c r="T33" s="28">
        <f t="shared" si="4"/>
        <v>0</v>
      </c>
      <c r="U33" s="12"/>
      <c r="V33" s="12" t="str">
        <f ca="1">IF(A33&gt;TODAY(),"FUTURO",IF(AND(K33=0,N33=0,S33=0),"SIN MOVIMIENTO",IF(ABS(T33)&lt;='Metas y Control'!$B$6,"OK","REVISAR CAJA")))</f>
        <v>SIN MOVIMIENTO</v>
      </c>
    </row>
    <row r="34" spans="1:22" x14ac:dyDescent="0.3">
      <c r="A34" s="25">
        <f>IF(YEAR(A33+1)=Dashboard!$B$2,A33+1,"")</f>
        <v>46052</v>
      </c>
      <c r="B34" s="26" t="str">
        <f t="shared" si="0"/>
        <v>enero</v>
      </c>
      <c r="C34" s="24"/>
      <c r="D34" s="24"/>
      <c r="E34" s="24"/>
      <c r="F34" s="24"/>
      <c r="G34" s="24"/>
      <c r="H34" s="24"/>
      <c r="I34" s="24"/>
      <c r="J34" s="24"/>
      <c r="K34" s="27">
        <f t="shared" si="1"/>
        <v>0</v>
      </c>
      <c r="L34" s="28">
        <f>IF(A34="","",C34*'Menu Productos'!$F$5+D34*'Menu Productos'!$F$6+E34*'Menu Productos'!$F$7+F34*'Menu Productos'!$F$8+G34*'Menu Productos'!$F$9+H34*'Menu Productos'!$F$10+I34*'Menu Productos'!$F$11+J34*'Menu Productos'!$F$12)</f>
        <v>0</v>
      </c>
      <c r="M34" s="28">
        <f>IF(A34="","",C34*'Menu Productos'!$E$5+D34*'Menu Productos'!$E$6+E34*'Menu Productos'!$E$7+F34*'Menu Productos'!$E$8+G34*'Menu Productos'!$E$9+H34*'Menu Productos'!$E$10+I34*'Menu Productos'!$E$11+J34*'Menu Productos'!$E$12)</f>
        <v>0</v>
      </c>
      <c r="N34" s="29"/>
      <c r="O34" s="28">
        <f t="shared" si="2"/>
        <v>0</v>
      </c>
      <c r="P34" s="29"/>
      <c r="Q34" s="29"/>
      <c r="R34" s="29"/>
      <c r="S34" s="28">
        <f t="shared" si="3"/>
        <v>0</v>
      </c>
      <c r="T34" s="28">
        <f t="shared" si="4"/>
        <v>0</v>
      </c>
      <c r="U34" s="12"/>
      <c r="V34" s="12" t="str">
        <f ca="1">IF(A34&gt;TODAY(),"FUTURO",IF(AND(K34=0,N34=0,S34=0),"SIN MOVIMIENTO",IF(ABS(T34)&lt;='Metas y Control'!$B$6,"OK","REVISAR CAJA")))</f>
        <v>SIN MOVIMIENTO</v>
      </c>
    </row>
    <row r="35" spans="1:22" x14ac:dyDescent="0.3">
      <c r="A35" s="25">
        <f>IF(YEAR(A34+1)=Dashboard!$B$2,A34+1,"")</f>
        <v>46053</v>
      </c>
      <c r="B35" s="26" t="str">
        <f t="shared" si="0"/>
        <v>enero</v>
      </c>
      <c r="C35" s="24"/>
      <c r="D35" s="24"/>
      <c r="E35" s="24"/>
      <c r="F35" s="24"/>
      <c r="G35" s="24"/>
      <c r="H35" s="24"/>
      <c r="I35" s="24"/>
      <c r="J35" s="24"/>
      <c r="K35" s="27">
        <f t="shared" si="1"/>
        <v>0</v>
      </c>
      <c r="L35" s="28">
        <f>IF(A35="","",C35*'Menu Productos'!$F$5+D35*'Menu Productos'!$F$6+E35*'Menu Productos'!$F$7+F35*'Menu Productos'!$F$8+G35*'Menu Productos'!$F$9+H35*'Menu Productos'!$F$10+I35*'Menu Productos'!$F$11+J35*'Menu Productos'!$F$12)</f>
        <v>0</v>
      </c>
      <c r="M35" s="28">
        <f>IF(A35="","",C35*'Menu Productos'!$E$5+D35*'Menu Productos'!$E$6+E35*'Menu Productos'!$E$7+F35*'Menu Productos'!$E$8+G35*'Menu Productos'!$E$9+H35*'Menu Productos'!$E$10+I35*'Menu Productos'!$E$11+J35*'Menu Productos'!$E$12)</f>
        <v>0</v>
      </c>
      <c r="N35" s="29"/>
      <c r="O35" s="28">
        <f t="shared" si="2"/>
        <v>0</v>
      </c>
      <c r="P35" s="29"/>
      <c r="Q35" s="29"/>
      <c r="R35" s="29"/>
      <c r="S35" s="28">
        <f t="shared" si="3"/>
        <v>0</v>
      </c>
      <c r="T35" s="28">
        <f t="shared" si="4"/>
        <v>0</v>
      </c>
      <c r="U35" s="12"/>
      <c r="V35" s="12" t="str">
        <f ca="1">IF(A35&gt;TODAY(),"FUTURO",IF(AND(K35=0,N35=0,S35=0),"SIN MOVIMIENTO",IF(ABS(T35)&lt;='Metas y Control'!$B$6,"OK","REVISAR CAJA")))</f>
        <v>SIN MOVIMIENTO</v>
      </c>
    </row>
    <row r="36" spans="1:22" x14ac:dyDescent="0.3">
      <c r="A36" s="25">
        <f>IF(YEAR(A35+1)=Dashboard!$B$2,A35+1,"")</f>
        <v>46054</v>
      </c>
      <c r="B36" s="26" t="str">
        <f t="shared" si="0"/>
        <v>febrero</v>
      </c>
      <c r="C36" s="24"/>
      <c r="D36" s="24"/>
      <c r="E36" s="24"/>
      <c r="F36" s="24"/>
      <c r="G36" s="24"/>
      <c r="H36" s="24"/>
      <c r="I36" s="24"/>
      <c r="J36" s="24"/>
      <c r="K36" s="27">
        <f t="shared" si="1"/>
        <v>0</v>
      </c>
      <c r="L36" s="28">
        <f>IF(A36="","",C36*'Menu Productos'!$F$5+D36*'Menu Productos'!$F$6+E36*'Menu Productos'!$F$7+F36*'Menu Productos'!$F$8+G36*'Menu Productos'!$F$9+H36*'Menu Productos'!$F$10+I36*'Menu Productos'!$F$11+J36*'Menu Productos'!$F$12)</f>
        <v>0</v>
      </c>
      <c r="M36" s="28">
        <f>IF(A36="","",C36*'Menu Productos'!$E$5+D36*'Menu Productos'!$E$6+E36*'Menu Productos'!$E$7+F36*'Menu Productos'!$E$8+G36*'Menu Productos'!$E$9+H36*'Menu Productos'!$E$10+I36*'Menu Productos'!$E$11+J36*'Menu Productos'!$E$12)</f>
        <v>0</v>
      </c>
      <c r="N36" s="29"/>
      <c r="O36" s="28">
        <f t="shared" si="2"/>
        <v>0</v>
      </c>
      <c r="P36" s="29"/>
      <c r="Q36" s="29"/>
      <c r="R36" s="29"/>
      <c r="S36" s="28">
        <f t="shared" si="3"/>
        <v>0</v>
      </c>
      <c r="T36" s="28">
        <f t="shared" si="4"/>
        <v>0</v>
      </c>
      <c r="U36" s="12"/>
      <c r="V36" s="12" t="str">
        <f ca="1">IF(A36&gt;TODAY(),"FUTURO",IF(AND(K36=0,N36=0,S36=0),"SIN MOVIMIENTO",IF(ABS(T36)&lt;='Metas y Control'!$B$6,"OK","REVISAR CAJA")))</f>
        <v>SIN MOVIMIENTO</v>
      </c>
    </row>
    <row r="37" spans="1:22" x14ac:dyDescent="0.3">
      <c r="A37" s="25">
        <f>IF(YEAR(A36+1)=Dashboard!$B$2,A36+1,"")</f>
        <v>46055</v>
      </c>
      <c r="B37" s="26" t="str">
        <f t="shared" si="0"/>
        <v>febrero</v>
      </c>
      <c r="C37" s="24"/>
      <c r="D37" s="24"/>
      <c r="E37" s="24"/>
      <c r="F37" s="24"/>
      <c r="G37" s="24"/>
      <c r="H37" s="24"/>
      <c r="I37" s="24"/>
      <c r="J37" s="24"/>
      <c r="K37" s="27">
        <f t="shared" si="1"/>
        <v>0</v>
      </c>
      <c r="L37" s="28">
        <f>IF(A37="","",C37*'Menu Productos'!$F$5+D37*'Menu Productos'!$F$6+E37*'Menu Productos'!$F$7+F37*'Menu Productos'!$F$8+G37*'Menu Productos'!$F$9+H37*'Menu Productos'!$F$10+I37*'Menu Productos'!$F$11+J37*'Menu Productos'!$F$12)</f>
        <v>0</v>
      </c>
      <c r="M37" s="28">
        <f>IF(A37="","",C37*'Menu Productos'!$E$5+D37*'Menu Productos'!$E$6+E37*'Menu Productos'!$E$7+F37*'Menu Productos'!$E$8+G37*'Menu Productos'!$E$9+H37*'Menu Productos'!$E$10+I37*'Menu Productos'!$E$11+J37*'Menu Productos'!$E$12)</f>
        <v>0</v>
      </c>
      <c r="N37" s="29"/>
      <c r="O37" s="28">
        <f t="shared" si="2"/>
        <v>0</v>
      </c>
      <c r="P37" s="29"/>
      <c r="Q37" s="29"/>
      <c r="R37" s="29"/>
      <c r="S37" s="28">
        <f t="shared" si="3"/>
        <v>0</v>
      </c>
      <c r="T37" s="28">
        <f t="shared" si="4"/>
        <v>0</v>
      </c>
      <c r="U37" s="12"/>
      <c r="V37" s="12" t="str">
        <f ca="1">IF(A37&gt;TODAY(),"FUTURO",IF(AND(K37=0,N37=0,S37=0),"SIN MOVIMIENTO",IF(ABS(T37)&lt;='Metas y Control'!$B$6,"OK","REVISAR CAJA")))</f>
        <v>SIN MOVIMIENTO</v>
      </c>
    </row>
    <row r="38" spans="1:22" x14ac:dyDescent="0.3">
      <c r="A38" s="25">
        <f>IF(YEAR(A37+1)=Dashboard!$B$2,A37+1,"")</f>
        <v>46056</v>
      </c>
      <c r="B38" s="26" t="str">
        <f t="shared" si="0"/>
        <v>febrero</v>
      </c>
      <c r="C38" s="24"/>
      <c r="D38" s="24"/>
      <c r="E38" s="24"/>
      <c r="F38" s="24"/>
      <c r="G38" s="24"/>
      <c r="H38" s="24"/>
      <c r="I38" s="24"/>
      <c r="J38" s="24"/>
      <c r="K38" s="27">
        <f t="shared" si="1"/>
        <v>0</v>
      </c>
      <c r="L38" s="28">
        <f>IF(A38="","",C38*'Menu Productos'!$F$5+D38*'Menu Productos'!$F$6+E38*'Menu Productos'!$F$7+F38*'Menu Productos'!$F$8+G38*'Menu Productos'!$F$9+H38*'Menu Productos'!$F$10+I38*'Menu Productos'!$F$11+J38*'Menu Productos'!$F$12)</f>
        <v>0</v>
      </c>
      <c r="M38" s="28">
        <f>IF(A38="","",C38*'Menu Productos'!$E$5+D38*'Menu Productos'!$E$6+E38*'Menu Productos'!$E$7+F38*'Menu Productos'!$E$8+G38*'Menu Productos'!$E$9+H38*'Menu Productos'!$E$10+I38*'Menu Productos'!$E$11+J38*'Menu Productos'!$E$12)</f>
        <v>0</v>
      </c>
      <c r="N38" s="29"/>
      <c r="O38" s="28">
        <f t="shared" si="2"/>
        <v>0</v>
      </c>
      <c r="P38" s="29"/>
      <c r="Q38" s="29"/>
      <c r="R38" s="29"/>
      <c r="S38" s="28">
        <f t="shared" si="3"/>
        <v>0</v>
      </c>
      <c r="T38" s="28">
        <f t="shared" si="4"/>
        <v>0</v>
      </c>
      <c r="U38" s="12"/>
      <c r="V38" s="12" t="str">
        <f ca="1">IF(A38&gt;TODAY(),"FUTURO",IF(AND(K38=0,N38=0,S38=0),"SIN MOVIMIENTO",IF(ABS(T38)&lt;='Metas y Control'!$B$6,"OK","REVISAR CAJA")))</f>
        <v>SIN MOVIMIENTO</v>
      </c>
    </row>
    <row r="39" spans="1:22" x14ac:dyDescent="0.3">
      <c r="A39" s="25">
        <f>IF(YEAR(A38+1)=Dashboard!$B$2,A38+1,"")</f>
        <v>46057</v>
      </c>
      <c r="B39" s="26" t="str">
        <f t="shared" si="0"/>
        <v>febrero</v>
      </c>
      <c r="C39" s="24"/>
      <c r="D39" s="24"/>
      <c r="E39" s="24"/>
      <c r="F39" s="24"/>
      <c r="G39" s="24"/>
      <c r="H39" s="24"/>
      <c r="I39" s="24"/>
      <c r="J39" s="24"/>
      <c r="K39" s="27">
        <f t="shared" si="1"/>
        <v>0</v>
      </c>
      <c r="L39" s="28">
        <f>IF(A39="","",C39*'Menu Productos'!$F$5+D39*'Menu Productos'!$F$6+E39*'Menu Productos'!$F$7+F39*'Menu Productos'!$F$8+G39*'Menu Productos'!$F$9+H39*'Menu Productos'!$F$10+I39*'Menu Productos'!$F$11+J39*'Menu Productos'!$F$12)</f>
        <v>0</v>
      </c>
      <c r="M39" s="28">
        <f>IF(A39="","",C39*'Menu Productos'!$E$5+D39*'Menu Productos'!$E$6+E39*'Menu Productos'!$E$7+F39*'Menu Productos'!$E$8+G39*'Menu Productos'!$E$9+H39*'Menu Productos'!$E$10+I39*'Menu Productos'!$E$11+J39*'Menu Productos'!$E$12)</f>
        <v>0</v>
      </c>
      <c r="N39" s="29"/>
      <c r="O39" s="28">
        <f t="shared" si="2"/>
        <v>0</v>
      </c>
      <c r="P39" s="29"/>
      <c r="Q39" s="29"/>
      <c r="R39" s="29"/>
      <c r="S39" s="28">
        <f t="shared" si="3"/>
        <v>0</v>
      </c>
      <c r="T39" s="28">
        <f t="shared" si="4"/>
        <v>0</v>
      </c>
      <c r="U39" s="12"/>
      <c r="V39" s="12" t="str">
        <f ca="1">IF(A39&gt;TODAY(),"FUTURO",IF(AND(K39=0,N39=0,S39=0),"SIN MOVIMIENTO",IF(ABS(T39)&lt;='Metas y Control'!$B$6,"OK","REVISAR CAJA")))</f>
        <v>SIN MOVIMIENTO</v>
      </c>
    </row>
    <row r="40" spans="1:22" x14ac:dyDescent="0.3">
      <c r="A40" s="25">
        <f>IF(YEAR(A39+1)=Dashboard!$B$2,A39+1,"")</f>
        <v>46058</v>
      </c>
      <c r="B40" s="26" t="str">
        <f t="shared" si="0"/>
        <v>febrero</v>
      </c>
      <c r="C40" s="24"/>
      <c r="D40" s="24"/>
      <c r="E40" s="24"/>
      <c r="F40" s="24"/>
      <c r="G40" s="24"/>
      <c r="H40" s="24"/>
      <c r="I40" s="24"/>
      <c r="J40" s="24"/>
      <c r="K40" s="27">
        <f t="shared" si="1"/>
        <v>0</v>
      </c>
      <c r="L40" s="28">
        <f>IF(A40="","",C40*'Menu Productos'!$F$5+D40*'Menu Productos'!$F$6+E40*'Menu Productos'!$F$7+F40*'Menu Productos'!$F$8+G40*'Menu Productos'!$F$9+H40*'Menu Productos'!$F$10+I40*'Menu Productos'!$F$11+J40*'Menu Productos'!$F$12)</f>
        <v>0</v>
      </c>
      <c r="M40" s="28">
        <f>IF(A40="","",C40*'Menu Productos'!$E$5+D40*'Menu Productos'!$E$6+E40*'Menu Productos'!$E$7+F40*'Menu Productos'!$E$8+G40*'Menu Productos'!$E$9+H40*'Menu Productos'!$E$10+I40*'Menu Productos'!$E$11+J40*'Menu Productos'!$E$12)</f>
        <v>0</v>
      </c>
      <c r="N40" s="29"/>
      <c r="O40" s="28">
        <f t="shared" si="2"/>
        <v>0</v>
      </c>
      <c r="P40" s="29"/>
      <c r="Q40" s="29"/>
      <c r="R40" s="29"/>
      <c r="S40" s="28">
        <f t="shared" si="3"/>
        <v>0</v>
      </c>
      <c r="T40" s="28">
        <f t="shared" si="4"/>
        <v>0</v>
      </c>
      <c r="U40" s="12"/>
      <c r="V40" s="12" t="str">
        <f ca="1">IF(A40&gt;TODAY(),"FUTURO",IF(AND(K40=0,N40=0,S40=0),"SIN MOVIMIENTO",IF(ABS(T40)&lt;='Metas y Control'!$B$6,"OK","REVISAR CAJA")))</f>
        <v>SIN MOVIMIENTO</v>
      </c>
    </row>
    <row r="41" spans="1:22" x14ac:dyDescent="0.3">
      <c r="A41" s="25">
        <f>IF(YEAR(A40+1)=Dashboard!$B$2,A40+1,"")</f>
        <v>46059</v>
      </c>
      <c r="B41" s="26" t="str">
        <f t="shared" si="0"/>
        <v>febrero</v>
      </c>
      <c r="C41" s="24"/>
      <c r="D41" s="24"/>
      <c r="E41" s="24"/>
      <c r="F41" s="24"/>
      <c r="G41" s="24"/>
      <c r="H41" s="24"/>
      <c r="I41" s="24"/>
      <c r="J41" s="24"/>
      <c r="K41" s="27">
        <f t="shared" si="1"/>
        <v>0</v>
      </c>
      <c r="L41" s="28">
        <f>IF(A41="","",C41*'Menu Productos'!$F$5+D41*'Menu Productos'!$F$6+E41*'Menu Productos'!$F$7+F41*'Menu Productos'!$F$8+G41*'Menu Productos'!$F$9+H41*'Menu Productos'!$F$10+I41*'Menu Productos'!$F$11+J41*'Menu Productos'!$F$12)</f>
        <v>0</v>
      </c>
      <c r="M41" s="28">
        <f>IF(A41="","",C41*'Menu Productos'!$E$5+D41*'Menu Productos'!$E$6+E41*'Menu Productos'!$E$7+F41*'Menu Productos'!$E$8+G41*'Menu Productos'!$E$9+H41*'Menu Productos'!$E$10+I41*'Menu Productos'!$E$11+J41*'Menu Productos'!$E$12)</f>
        <v>0</v>
      </c>
      <c r="N41" s="29"/>
      <c r="O41" s="28">
        <f t="shared" si="2"/>
        <v>0</v>
      </c>
      <c r="P41" s="29"/>
      <c r="Q41" s="29"/>
      <c r="R41" s="29"/>
      <c r="S41" s="28">
        <f t="shared" si="3"/>
        <v>0</v>
      </c>
      <c r="T41" s="28">
        <f t="shared" si="4"/>
        <v>0</v>
      </c>
      <c r="U41" s="12"/>
      <c r="V41" s="12" t="str">
        <f ca="1">IF(A41&gt;TODAY(),"FUTURO",IF(AND(K41=0,N41=0,S41=0),"SIN MOVIMIENTO",IF(ABS(T41)&lt;='Metas y Control'!$B$6,"OK","REVISAR CAJA")))</f>
        <v>SIN MOVIMIENTO</v>
      </c>
    </row>
    <row r="42" spans="1:22" x14ac:dyDescent="0.3">
      <c r="A42" s="25">
        <f>IF(YEAR(A41+1)=Dashboard!$B$2,A41+1,"")</f>
        <v>46060</v>
      </c>
      <c r="B42" s="26" t="str">
        <f t="shared" si="0"/>
        <v>febrero</v>
      </c>
      <c r="C42" s="24"/>
      <c r="D42" s="24"/>
      <c r="E42" s="24"/>
      <c r="F42" s="24"/>
      <c r="G42" s="24"/>
      <c r="H42" s="24"/>
      <c r="I42" s="24"/>
      <c r="J42" s="24"/>
      <c r="K42" s="27">
        <f t="shared" si="1"/>
        <v>0</v>
      </c>
      <c r="L42" s="28">
        <f>IF(A42="","",C42*'Menu Productos'!$F$5+D42*'Menu Productos'!$F$6+E42*'Menu Productos'!$F$7+F42*'Menu Productos'!$F$8+G42*'Menu Productos'!$F$9+H42*'Menu Productos'!$F$10+I42*'Menu Productos'!$F$11+J42*'Menu Productos'!$F$12)</f>
        <v>0</v>
      </c>
      <c r="M42" s="28">
        <f>IF(A42="","",C42*'Menu Productos'!$E$5+D42*'Menu Productos'!$E$6+E42*'Menu Productos'!$E$7+F42*'Menu Productos'!$E$8+G42*'Menu Productos'!$E$9+H42*'Menu Productos'!$E$10+I42*'Menu Productos'!$E$11+J42*'Menu Productos'!$E$12)</f>
        <v>0</v>
      </c>
      <c r="N42" s="29"/>
      <c r="O42" s="28">
        <f t="shared" si="2"/>
        <v>0</v>
      </c>
      <c r="P42" s="29"/>
      <c r="Q42" s="29"/>
      <c r="R42" s="29"/>
      <c r="S42" s="28">
        <f t="shared" si="3"/>
        <v>0</v>
      </c>
      <c r="T42" s="28">
        <f t="shared" si="4"/>
        <v>0</v>
      </c>
      <c r="U42" s="12"/>
      <c r="V42" s="12" t="str">
        <f ca="1">IF(A42&gt;TODAY(),"FUTURO",IF(AND(K42=0,N42=0,S42=0),"SIN MOVIMIENTO",IF(ABS(T42)&lt;='Metas y Control'!$B$6,"OK","REVISAR CAJA")))</f>
        <v>SIN MOVIMIENTO</v>
      </c>
    </row>
    <row r="43" spans="1:22" x14ac:dyDescent="0.3">
      <c r="A43" s="25">
        <f>IF(YEAR(A42+1)=Dashboard!$B$2,A42+1,"")</f>
        <v>46061</v>
      </c>
      <c r="B43" s="26" t="str">
        <f t="shared" si="0"/>
        <v>febrero</v>
      </c>
      <c r="C43" s="24"/>
      <c r="D43" s="24"/>
      <c r="E43" s="24"/>
      <c r="F43" s="24"/>
      <c r="G43" s="24"/>
      <c r="H43" s="24"/>
      <c r="I43" s="24"/>
      <c r="J43" s="24"/>
      <c r="K43" s="27">
        <f t="shared" si="1"/>
        <v>0</v>
      </c>
      <c r="L43" s="28">
        <f>IF(A43="","",C43*'Menu Productos'!$F$5+D43*'Menu Productos'!$F$6+E43*'Menu Productos'!$F$7+F43*'Menu Productos'!$F$8+G43*'Menu Productos'!$F$9+H43*'Menu Productos'!$F$10+I43*'Menu Productos'!$F$11+J43*'Menu Productos'!$F$12)</f>
        <v>0</v>
      </c>
      <c r="M43" s="28">
        <f>IF(A43="","",C43*'Menu Productos'!$E$5+D43*'Menu Productos'!$E$6+E43*'Menu Productos'!$E$7+F43*'Menu Productos'!$E$8+G43*'Menu Productos'!$E$9+H43*'Menu Productos'!$E$10+I43*'Menu Productos'!$E$11+J43*'Menu Productos'!$E$12)</f>
        <v>0</v>
      </c>
      <c r="N43" s="29"/>
      <c r="O43" s="28">
        <f t="shared" si="2"/>
        <v>0</v>
      </c>
      <c r="P43" s="29"/>
      <c r="Q43" s="29"/>
      <c r="R43" s="29"/>
      <c r="S43" s="28">
        <f t="shared" si="3"/>
        <v>0</v>
      </c>
      <c r="T43" s="28">
        <f t="shared" si="4"/>
        <v>0</v>
      </c>
      <c r="U43" s="12"/>
      <c r="V43" s="12" t="str">
        <f ca="1">IF(A43&gt;TODAY(),"FUTURO",IF(AND(K43=0,N43=0,S43=0),"SIN MOVIMIENTO",IF(ABS(T43)&lt;='Metas y Control'!$B$6,"OK","REVISAR CAJA")))</f>
        <v>SIN MOVIMIENTO</v>
      </c>
    </row>
    <row r="44" spans="1:22" x14ac:dyDescent="0.3">
      <c r="A44" s="25">
        <f>IF(YEAR(A43+1)=Dashboard!$B$2,A43+1,"")</f>
        <v>46062</v>
      </c>
      <c r="B44" s="26" t="str">
        <f t="shared" si="0"/>
        <v>febrero</v>
      </c>
      <c r="C44" s="24"/>
      <c r="D44" s="24"/>
      <c r="E44" s="24"/>
      <c r="F44" s="24"/>
      <c r="G44" s="24"/>
      <c r="H44" s="24"/>
      <c r="I44" s="24"/>
      <c r="J44" s="24"/>
      <c r="K44" s="27">
        <f t="shared" si="1"/>
        <v>0</v>
      </c>
      <c r="L44" s="28">
        <f>IF(A44="","",C44*'Menu Productos'!$F$5+D44*'Menu Productos'!$F$6+E44*'Menu Productos'!$F$7+F44*'Menu Productos'!$F$8+G44*'Menu Productos'!$F$9+H44*'Menu Productos'!$F$10+I44*'Menu Productos'!$F$11+J44*'Menu Productos'!$F$12)</f>
        <v>0</v>
      </c>
      <c r="M44" s="28">
        <f>IF(A44="","",C44*'Menu Productos'!$E$5+D44*'Menu Productos'!$E$6+E44*'Menu Productos'!$E$7+F44*'Menu Productos'!$E$8+G44*'Menu Productos'!$E$9+H44*'Menu Productos'!$E$10+I44*'Menu Productos'!$E$11+J44*'Menu Productos'!$E$12)</f>
        <v>0</v>
      </c>
      <c r="N44" s="29"/>
      <c r="O44" s="28">
        <f t="shared" si="2"/>
        <v>0</v>
      </c>
      <c r="P44" s="29"/>
      <c r="Q44" s="29"/>
      <c r="R44" s="29"/>
      <c r="S44" s="28">
        <f t="shared" si="3"/>
        <v>0</v>
      </c>
      <c r="T44" s="28">
        <f t="shared" si="4"/>
        <v>0</v>
      </c>
      <c r="U44" s="12"/>
      <c r="V44" s="12" t="str">
        <f ca="1">IF(A44&gt;TODAY(),"FUTURO",IF(AND(K44=0,N44=0,S44=0),"SIN MOVIMIENTO",IF(ABS(T44)&lt;='Metas y Control'!$B$6,"OK","REVISAR CAJA")))</f>
        <v>SIN MOVIMIENTO</v>
      </c>
    </row>
    <row r="45" spans="1:22" x14ac:dyDescent="0.3">
      <c r="A45" s="25">
        <f>IF(YEAR(A44+1)=Dashboard!$B$2,A44+1,"")</f>
        <v>46063</v>
      </c>
      <c r="B45" s="26" t="str">
        <f t="shared" si="0"/>
        <v>febrero</v>
      </c>
      <c r="C45" s="24"/>
      <c r="D45" s="24"/>
      <c r="E45" s="24"/>
      <c r="F45" s="24"/>
      <c r="G45" s="24"/>
      <c r="H45" s="24"/>
      <c r="I45" s="24"/>
      <c r="J45" s="24"/>
      <c r="K45" s="27">
        <f t="shared" si="1"/>
        <v>0</v>
      </c>
      <c r="L45" s="28">
        <f>IF(A45="","",C45*'Menu Productos'!$F$5+D45*'Menu Productos'!$F$6+E45*'Menu Productos'!$F$7+F45*'Menu Productos'!$F$8+G45*'Menu Productos'!$F$9+H45*'Menu Productos'!$F$10+I45*'Menu Productos'!$F$11+J45*'Menu Productos'!$F$12)</f>
        <v>0</v>
      </c>
      <c r="M45" s="28">
        <f>IF(A45="","",C45*'Menu Productos'!$E$5+D45*'Menu Productos'!$E$6+E45*'Menu Productos'!$E$7+F45*'Menu Productos'!$E$8+G45*'Menu Productos'!$E$9+H45*'Menu Productos'!$E$10+I45*'Menu Productos'!$E$11+J45*'Menu Productos'!$E$12)</f>
        <v>0</v>
      </c>
      <c r="N45" s="29"/>
      <c r="O45" s="28">
        <f t="shared" si="2"/>
        <v>0</v>
      </c>
      <c r="P45" s="29"/>
      <c r="Q45" s="29"/>
      <c r="R45" s="29"/>
      <c r="S45" s="28">
        <f t="shared" si="3"/>
        <v>0</v>
      </c>
      <c r="T45" s="28">
        <f t="shared" si="4"/>
        <v>0</v>
      </c>
      <c r="U45" s="12"/>
      <c r="V45" s="12" t="str">
        <f ca="1">IF(A45&gt;TODAY(),"FUTURO",IF(AND(K45=0,N45=0,S45=0),"SIN MOVIMIENTO",IF(ABS(T45)&lt;='Metas y Control'!$B$6,"OK","REVISAR CAJA")))</f>
        <v>SIN MOVIMIENTO</v>
      </c>
    </row>
    <row r="46" spans="1:22" x14ac:dyDescent="0.3">
      <c r="A46" s="25">
        <f>IF(YEAR(A45+1)=Dashboard!$B$2,A45+1,"")</f>
        <v>46064</v>
      </c>
      <c r="B46" s="26" t="str">
        <f t="shared" si="0"/>
        <v>febrero</v>
      </c>
      <c r="C46" s="24"/>
      <c r="D46" s="24"/>
      <c r="E46" s="24"/>
      <c r="F46" s="24"/>
      <c r="G46" s="24"/>
      <c r="H46" s="24"/>
      <c r="I46" s="24"/>
      <c r="J46" s="24"/>
      <c r="K46" s="27">
        <f t="shared" si="1"/>
        <v>0</v>
      </c>
      <c r="L46" s="28">
        <f>IF(A46="","",C46*'Menu Productos'!$F$5+D46*'Menu Productos'!$F$6+E46*'Menu Productos'!$F$7+F46*'Menu Productos'!$F$8+G46*'Menu Productos'!$F$9+H46*'Menu Productos'!$F$10+I46*'Menu Productos'!$F$11+J46*'Menu Productos'!$F$12)</f>
        <v>0</v>
      </c>
      <c r="M46" s="28">
        <f>IF(A46="","",C46*'Menu Productos'!$E$5+D46*'Menu Productos'!$E$6+E46*'Menu Productos'!$E$7+F46*'Menu Productos'!$E$8+G46*'Menu Productos'!$E$9+H46*'Menu Productos'!$E$10+I46*'Menu Productos'!$E$11+J46*'Menu Productos'!$E$12)</f>
        <v>0</v>
      </c>
      <c r="N46" s="29"/>
      <c r="O46" s="28">
        <f t="shared" si="2"/>
        <v>0</v>
      </c>
      <c r="P46" s="29"/>
      <c r="Q46" s="29"/>
      <c r="R46" s="29"/>
      <c r="S46" s="28">
        <f t="shared" si="3"/>
        <v>0</v>
      </c>
      <c r="T46" s="28">
        <f t="shared" si="4"/>
        <v>0</v>
      </c>
      <c r="U46" s="12"/>
      <c r="V46" s="12" t="str">
        <f ca="1">IF(A46&gt;TODAY(),"FUTURO",IF(AND(K46=0,N46=0,S46=0),"SIN MOVIMIENTO",IF(ABS(T46)&lt;='Metas y Control'!$B$6,"OK","REVISAR CAJA")))</f>
        <v>SIN MOVIMIENTO</v>
      </c>
    </row>
    <row r="47" spans="1:22" x14ac:dyDescent="0.3">
      <c r="A47" s="25">
        <f>IF(YEAR(A46+1)=Dashboard!$B$2,A46+1,"")</f>
        <v>46065</v>
      </c>
      <c r="B47" s="26" t="str">
        <f t="shared" si="0"/>
        <v>febrero</v>
      </c>
      <c r="C47" s="24"/>
      <c r="D47" s="24"/>
      <c r="E47" s="24"/>
      <c r="F47" s="24"/>
      <c r="G47" s="24"/>
      <c r="H47" s="24"/>
      <c r="I47" s="24"/>
      <c r="J47" s="24"/>
      <c r="K47" s="27">
        <f t="shared" si="1"/>
        <v>0</v>
      </c>
      <c r="L47" s="28">
        <f>IF(A47="","",C47*'Menu Productos'!$F$5+D47*'Menu Productos'!$F$6+E47*'Menu Productos'!$F$7+F47*'Menu Productos'!$F$8+G47*'Menu Productos'!$F$9+H47*'Menu Productos'!$F$10+I47*'Menu Productos'!$F$11+J47*'Menu Productos'!$F$12)</f>
        <v>0</v>
      </c>
      <c r="M47" s="28">
        <f>IF(A47="","",C47*'Menu Productos'!$E$5+D47*'Menu Productos'!$E$6+E47*'Menu Productos'!$E$7+F47*'Menu Productos'!$E$8+G47*'Menu Productos'!$E$9+H47*'Menu Productos'!$E$10+I47*'Menu Productos'!$E$11+J47*'Menu Productos'!$E$12)</f>
        <v>0</v>
      </c>
      <c r="N47" s="29"/>
      <c r="O47" s="28">
        <f t="shared" si="2"/>
        <v>0</v>
      </c>
      <c r="P47" s="29"/>
      <c r="Q47" s="29"/>
      <c r="R47" s="29"/>
      <c r="S47" s="28">
        <f t="shared" si="3"/>
        <v>0</v>
      </c>
      <c r="T47" s="28">
        <f t="shared" si="4"/>
        <v>0</v>
      </c>
      <c r="U47" s="12"/>
      <c r="V47" s="12" t="str">
        <f ca="1">IF(A47&gt;TODAY(),"FUTURO",IF(AND(K47=0,N47=0,S47=0),"SIN MOVIMIENTO",IF(ABS(T47)&lt;='Metas y Control'!$B$6,"OK","REVISAR CAJA")))</f>
        <v>SIN MOVIMIENTO</v>
      </c>
    </row>
    <row r="48" spans="1:22" x14ac:dyDescent="0.3">
      <c r="A48" s="25">
        <f>IF(YEAR(A47+1)=Dashboard!$B$2,A47+1,"")</f>
        <v>46066</v>
      </c>
      <c r="B48" s="26" t="str">
        <f t="shared" si="0"/>
        <v>febrero</v>
      </c>
      <c r="C48" s="24"/>
      <c r="D48" s="24"/>
      <c r="E48" s="24"/>
      <c r="F48" s="24"/>
      <c r="G48" s="24"/>
      <c r="H48" s="24"/>
      <c r="I48" s="24"/>
      <c r="J48" s="24"/>
      <c r="K48" s="27">
        <f t="shared" si="1"/>
        <v>0</v>
      </c>
      <c r="L48" s="28">
        <f>IF(A48="","",C48*'Menu Productos'!$F$5+D48*'Menu Productos'!$F$6+E48*'Menu Productos'!$F$7+F48*'Menu Productos'!$F$8+G48*'Menu Productos'!$F$9+H48*'Menu Productos'!$F$10+I48*'Menu Productos'!$F$11+J48*'Menu Productos'!$F$12)</f>
        <v>0</v>
      </c>
      <c r="M48" s="28">
        <f>IF(A48="","",C48*'Menu Productos'!$E$5+D48*'Menu Productos'!$E$6+E48*'Menu Productos'!$E$7+F48*'Menu Productos'!$E$8+G48*'Menu Productos'!$E$9+H48*'Menu Productos'!$E$10+I48*'Menu Productos'!$E$11+J48*'Menu Productos'!$E$12)</f>
        <v>0</v>
      </c>
      <c r="N48" s="29"/>
      <c r="O48" s="28">
        <f t="shared" si="2"/>
        <v>0</v>
      </c>
      <c r="P48" s="29"/>
      <c r="Q48" s="29"/>
      <c r="R48" s="29"/>
      <c r="S48" s="28">
        <f t="shared" si="3"/>
        <v>0</v>
      </c>
      <c r="T48" s="28">
        <f t="shared" si="4"/>
        <v>0</v>
      </c>
      <c r="U48" s="12"/>
      <c r="V48" s="12" t="str">
        <f ca="1">IF(A48&gt;TODAY(),"FUTURO",IF(AND(K48=0,N48=0,S48=0),"SIN MOVIMIENTO",IF(ABS(T48)&lt;='Metas y Control'!$B$6,"OK","REVISAR CAJA")))</f>
        <v>SIN MOVIMIENTO</v>
      </c>
    </row>
    <row r="49" spans="1:22" x14ac:dyDescent="0.3">
      <c r="A49" s="25">
        <f>IF(YEAR(A48+1)=Dashboard!$B$2,A48+1,"")</f>
        <v>46067</v>
      </c>
      <c r="B49" s="26" t="str">
        <f t="shared" si="0"/>
        <v>febrero</v>
      </c>
      <c r="C49" s="24"/>
      <c r="D49" s="24"/>
      <c r="E49" s="24"/>
      <c r="F49" s="24"/>
      <c r="G49" s="24"/>
      <c r="H49" s="24"/>
      <c r="I49" s="24"/>
      <c r="J49" s="24"/>
      <c r="K49" s="27">
        <f t="shared" si="1"/>
        <v>0</v>
      </c>
      <c r="L49" s="28">
        <f>IF(A49="","",C49*'Menu Productos'!$F$5+D49*'Menu Productos'!$F$6+E49*'Menu Productos'!$F$7+F49*'Menu Productos'!$F$8+G49*'Menu Productos'!$F$9+H49*'Menu Productos'!$F$10+I49*'Menu Productos'!$F$11+J49*'Menu Productos'!$F$12)</f>
        <v>0</v>
      </c>
      <c r="M49" s="28">
        <f>IF(A49="","",C49*'Menu Productos'!$E$5+D49*'Menu Productos'!$E$6+E49*'Menu Productos'!$E$7+F49*'Menu Productos'!$E$8+G49*'Menu Productos'!$E$9+H49*'Menu Productos'!$E$10+I49*'Menu Productos'!$E$11+J49*'Menu Productos'!$E$12)</f>
        <v>0</v>
      </c>
      <c r="N49" s="29"/>
      <c r="O49" s="28">
        <f t="shared" si="2"/>
        <v>0</v>
      </c>
      <c r="P49" s="29"/>
      <c r="Q49" s="29"/>
      <c r="R49" s="29"/>
      <c r="S49" s="28">
        <f t="shared" si="3"/>
        <v>0</v>
      </c>
      <c r="T49" s="28">
        <f t="shared" si="4"/>
        <v>0</v>
      </c>
      <c r="U49" s="12"/>
      <c r="V49" s="12" t="str">
        <f ca="1">IF(A49&gt;TODAY(),"FUTURO",IF(AND(K49=0,N49=0,S49=0),"SIN MOVIMIENTO",IF(ABS(T49)&lt;='Metas y Control'!$B$6,"OK","REVISAR CAJA")))</f>
        <v>SIN MOVIMIENTO</v>
      </c>
    </row>
    <row r="50" spans="1:22" x14ac:dyDescent="0.3">
      <c r="A50" s="25">
        <f>IF(YEAR(A49+1)=Dashboard!$B$2,A49+1,"")</f>
        <v>46068</v>
      </c>
      <c r="B50" s="26" t="str">
        <f t="shared" si="0"/>
        <v>febrero</v>
      </c>
      <c r="C50" s="24"/>
      <c r="D50" s="24"/>
      <c r="E50" s="24"/>
      <c r="F50" s="24"/>
      <c r="G50" s="24"/>
      <c r="H50" s="24"/>
      <c r="I50" s="24"/>
      <c r="J50" s="24"/>
      <c r="K50" s="27">
        <f t="shared" si="1"/>
        <v>0</v>
      </c>
      <c r="L50" s="28">
        <f>IF(A50="","",C50*'Menu Productos'!$F$5+D50*'Menu Productos'!$F$6+E50*'Menu Productos'!$F$7+F50*'Menu Productos'!$F$8+G50*'Menu Productos'!$F$9+H50*'Menu Productos'!$F$10+I50*'Menu Productos'!$F$11+J50*'Menu Productos'!$F$12)</f>
        <v>0</v>
      </c>
      <c r="M50" s="28">
        <f>IF(A50="","",C50*'Menu Productos'!$E$5+D50*'Menu Productos'!$E$6+E50*'Menu Productos'!$E$7+F50*'Menu Productos'!$E$8+G50*'Menu Productos'!$E$9+H50*'Menu Productos'!$E$10+I50*'Menu Productos'!$E$11+J50*'Menu Productos'!$E$12)</f>
        <v>0</v>
      </c>
      <c r="N50" s="29"/>
      <c r="O50" s="28">
        <f t="shared" si="2"/>
        <v>0</v>
      </c>
      <c r="P50" s="29"/>
      <c r="Q50" s="29"/>
      <c r="R50" s="29"/>
      <c r="S50" s="28">
        <f t="shared" si="3"/>
        <v>0</v>
      </c>
      <c r="T50" s="28">
        <f t="shared" si="4"/>
        <v>0</v>
      </c>
      <c r="U50" s="12"/>
      <c r="V50" s="12" t="str">
        <f ca="1">IF(A50&gt;TODAY(),"FUTURO",IF(AND(K50=0,N50=0,S50=0),"SIN MOVIMIENTO",IF(ABS(T50)&lt;='Metas y Control'!$B$6,"OK","REVISAR CAJA")))</f>
        <v>SIN MOVIMIENTO</v>
      </c>
    </row>
    <row r="51" spans="1:22" x14ac:dyDescent="0.3">
      <c r="A51" s="25">
        <f>IF(YEAR(A50+1)=Dashboard!$B$2,A50+1,"")</f>
        <v>46069</v>
      </c>
      <c r="B51" s="26" t="str">
        <f t="shared" si="0"/>
        <v>febrero</v>
      </c>
      <c r="C51" s="24"/>
      <c r="D51" s="24"/>
      <c r="E51" s="24"/>
      <c r="F51" s="24"/>
      <c r="G51" s="24"/>
      <c r="H51" s="24"/>
      <c r="I51" s="24"/>
      <c r="J51" s="24"/>
      <c r="K51" s="27">
        <f t="shared" si="1"/>
        <v>0</v>
      </c>
      <c r="L51" s="28">
        <f>IF(A51="","",C51*'Menu Productos'!$F$5+D51*'Menu Productos'!$F$6+E51*'Menu Productos'!$F$7+F51*'Menu Productos'!$F$8+G51*'Menu Productos'!$F$9+H51*'Menu Productos'!$F$10+I51*'Menu Productos'!$F$11+J51*'Menu Productos'!$F$12)</f>
        <v>0</v>
      </c>
      <c r="M51" s="28">
        <f>IF(A51="","",C51*'Menu Productos'!$E$5+D51*'Menu Productos'!$E$6+E51*'Menu Productos'!$E$7+F51*'Menu Productos'!$E$8+G51*'Menu Productos'!$E$9+H51*'Menu Productos'!$E$10+I51*'Menu Productos'!$E$11+J51*'Menu Productos'!$E$12)</f>
        <v>0</v>
      </c>
      <c r="N51" s="29"/>
      <c r="O51" s="28">
        <f t="shared" si="2"/>
        <v>0</v>
      </c>
      <c r="P51" s="29"/>
      <c r="Q51" s="29"/>
      <c r="R51" s="29"/>
      <c r="S51" s="28">
        <f t="shared" si="3"/>
        <v>0</v>
      </c>
      <c r="T51" s="28">
        <f t="shared" si="4"/>
        <v>0</v>
      </c>
      <c r="U51" s="12"/>
      <c r="V51" s="12" t="str">
        <f ca="1">IF(A51&gt;TODAY(),"FUTURO",IF(AND(K51=0,N51=0,S51=0),"SIN MOVIMIENTO",IF(ABS(T51)&lt;='Metas y Control'!$B$6,"OK","REVISAR CAJA")))</f>
        <v>SIN MOVIMIENTO</v>
      </c>
    </row>
    <row r="52" spans="1:22" x14ac:dyDescent="0.3">
      <c r="A52" s="25">
        <f>IF(YEAR(A51+1)=Dashboard!$B$2,A51+1,"")</f>
        <v>46070</v>
      </c>
      <c r="B52" s="26" t="str">
        <f t="shared" si="0"/>
        <v>febrero</v>
      </c>
      <c r="C52" s="24"/>
      <c r="D52" s="24"/>
      <c r="E52" s="24"/>
      <c r="F52" s="24"/>
      <c r="G52" s="24"/>
      <c r="H52" s="24"/>
      <c r="I52" s="24"/>
      <c r="J52" s="24"/>
      <c r="K52" s="27">
        <f t="shared" si="1"/>
        <v>0</v>
      </c>
      <c r="L52" s="28">
        <f>IF(A52="","",C52*'Menu Productos'!$F$5+D52*'Menu Productos'!$F$6+E52*'Menu Productos'!$F$7+F52*'Menu Productos'!$F$8+G52*'Menu Productos'!$F$9+H52*'Menu Productos'!$F$10+I52*'Menu Productos'!$F$11+J52*'Menu Productos'!$F$12)</f>
        <v>0</v>
      </c>
      <c r="M52" s="28">
        <f>IF(A52="","",C52*'Menu Productos'!$E$5+D52*'Menu Productos'!$E$6+E52*'Menu Productos'!$E$7+F52*'Menu Productos'!$E$8+G52*'Menu Productos'!$E$9+H52*'Menu Productos'!$E$10+I52*'Menu Productos'!$E$11+J52*'Menu Productos'!$E$12)</f>
        <v>0</v>
      </c>
      <c r="N52" s="29"/>
      <c r="O52" s="28">
        <f t="shared" si="2"/>
        <v>0</v>
      </c>
      <c r="P52" s="29"/>
      <c r="Q52" s="29"/>
      <c r="R52" s="29"/>
      <c r="S52" s="28">
        <f t="shared" si="3"/>
        <v>0</v>
      </c>
      <c r="T52" s="28">
        <f t="shared" si="4"/>
        <v>0</v>
      </c>
      <c r="U52" s="12"/>
      <c r="V52" s="12" t="str">
        <f ca="1">IF(A52&gt;TODAY(),"FUTURO",IF(AND(K52=0,N52=0,S52=0),"SIN MOVIMIENTO",IF(ABS(T52)&lt;='Metas y Control'!$B$6,"OK","REVISAR CAJA")))</f>
        <v>SIN MOVIMIENTO</v>
      </c>
    </row>
    <row r="53" spans="1:22" x14ac:dyDescent="0.3">
      <c r="A53" s="25">
        <f>IF(YEAR(A52+1)=Dashboard!$B$2,A52+1,"")</f>
        <v>46071</v>
      </c>
      <c r="B53" s="26" t="str">
        <f t="shared" si="0"/>
        <v>febrero</v>
      </c>
      <c r="C53" s="24"/>
      <c r="D53" s="24"/>
      <c r="E53" s="24"/>
      <c r="F53" s="24"/>
      <c r="G53" s="24"/>
      <c r="H53" s="24"/>
      <c r="I53" s="24"/>
      <c r="J53" s="24"/>
      <c r="K53" s="27">
        <f t="shared" si="1"/>
        <v>0</v>
      </c>
      <c r="L53" s="28">
        <f>IF(A53="","",C53*'Menu Productos'!$F$5+D53*'Menu Productos'!$F$6+E53*'Menu Productos'!$F$7+F53*'Menu Productos'!$F$8+G53*'Menu Productos'!$F$9+H53*'Menu Productos'!$F$10+I53*'Menu Productos'!$F$11+J53*'Menu Productos'!$F$12)</f>
        <v>0</v>
      </c>
      <c r="M53" s="28">
        <f>IF(A53="","",C53*'Menu Productos'!$E$5+D53*'Menu Productos'!$E$6+E53*'Menu Productos'!$E$7+F53*'Menu Productos'!$E$8+G53*'Menu Productos'!$E$9+H53*'Menu Productos'!$E$10+I53*'Menu Productos'!$E$11+J53*'Menu Productos'!$E$12)</f>
        <v>0</v>
      </c>
      <c r="N53" s="29"/>
      <c r="O53" s="28">
        <f t="shared" si="2"/>
        <v>0</v>
      </c>
      <c r="P53" s="29"/>
      <c r="Q53" s="29"/>
      <c r="R53" s="29"/>
      <c r="S53" s="28">
        <f t="shared" si="3"/>
        <v>0</v>
      </c>
      <c r="T53" s="28">
        <f t="shared" si="4"/>
        <v>0</v>
      </c>
      <c r="U53" s="12"/>
      <c r="V53" s="12" t="str">
        <f ca="1">IF(A53&gt;TODAY(),"FUTURO",IF(AND(K53=0,N53=0,S53=0),"SIN MOVIMIENTO",IF(ABS(T53)&lt;='Metas y Control'!$B$6,"OK","REVISAR CAJA")))</f>
        <v>SIN MOVIMIENTO</v>
      </c>
    </row>
    <row r="54" spans="1:22" x14ac:dyDescent="0.3">
      <c r="A54" s="25">
        <f>IF(YEAR(A53+1)=Dashboard!$B$2,A53+1,"")</f>
        <v>46072</v>
      </c>
      <c r="B54" s="26" t="str">
        <f t="shared" si="0"/>
        <v>febrero</v>
      </c>
      <c r="C54" s="24"/>
      <c r="D54" s="24"/>
      <c r="E54" s="24"/>
      <c r="F54" s="24"/>
      <c r="G54" s="24"/>
      <c r="H54" s="24"/>
      <c r="I54" s="24"/>
      <c r="J54" s="24"/>
      <c r="K54" s="27">
        <f t="shared" si="1"/>
        <v>0</v>
      </c>
      <c r="L54" s="28">
        <f>IF(A54="","",C54*'Menu Productos'!$F$5+D54*'Menu Productos'!$F$6+E54*'Menu Productos'!$F$7+F54*'Menu Productos'!$F$8+G54*'Menu Productos'!$F$9+H54*'Menu Productos'!$F$10+I54*'Menu Productos'!$F$11+J54*'Menu Productos'!$F$12)</f>
        <v>0</v>
      </c>
      <c r="M54" s="28">
        <f>IF(A54="","",C54*'Menu Productos'!$E$5+D54*'Menu Productos'!$E$6+E54*'Menu Productos'!$E$7+F54*'Menu Productos'!$E$8+G54*'Menu Productos'!$E$9+H54*'Menu Productos'!$E$10+I54*'Menu Productos'!$E$11+J54*'Menu Productos'!$E$12)</f>
        <v>0</v>
      </c>
      <c r="N54" s="29"/>
      <c r="O54" s="28">
        <f t="shared" si="2"/>
        <v>0</v>
      </c>
      <c r="P54" s="29"/>
      <c r="Q54" s="29"/>
      <c r="R54" s="29"/>
      <c r="S54" s="28">
        <f t="shared" si="3"/>
        <v>0</v>
      </c>
      <c r="T54" s="28">
        <f t="shared" si="4"/>
        <v>0</v>
      </c>
      <c r="U54" s="12"/>
      <c r="V54" s="12" t="str">
        <f ca="1">IF(A54&gt;TODAY(),"FUTURO",IF(AND(K54=0,N54=0,S54=0),"SIN MOVIMIENTO",IF(ABS(T54)&lt;='Metas y Control'!$B$6,"OK","REVISAR CAJA")))</f>
        <v>SIN MOVIMIENTO</v>
      </c>
    </row>
    <row r="55" spans="1:22" x14ac:dyDescent="0.3">
      <c r="A55" s="25">
        <f>IF(YEAR(A54+1)=Dashboard!$B$2,A54+1,"")</f>
        <v>46073</v>
      </c>
      <c r="B55" s="26" t="str">
        <f t="shared" si="0"/>
        <v>febrero</v>
      </c>
      <c r="C55" s="24"/>
      <c r="D55" s="24"/>
      <c r="E55" s="24"/>
      <c r="F55" s="24"/>
      <c r="G55" s="24"/>
      <c r="H55" s="24"/>
      <c r="I55" s="24"/>
      <c r="J55" s="24"/>
      <c r="K55" s="27">
        <f t="shared" si="1"/>
        <v>0</v>
      </c>
      <c r="L55" s="28">
        <f>IF(A55="","",C55*'Menu Productos'!$F$5+D55*'Menu Productos'!$F$6+E55*'Menu Productos'!$F$7+F55*'Menu Productos'!$F$8+G55*'Menu Productos'!$F$9+H55*'Menu Productos'!$F$10+I55*'Menu Productos'!$F$11+J55*'Menu Productos'!$F$12)</f>
        <v>0</v>
      </c>
      <c r="M55" s="28">
        <f>IF(A55="","",C55*'Menu Productos'!$E$5+D55*'Menu Productos'!$E$6+E55*'Menu Productos'!$E$7+F55*'Menu Productos'!$E$8+G55*'Menu Productos'!$E$9+H55*'Menu Productos'!$E$10+I55*'Menu Productos'!$E$11+J55*'Menu Productos'!$E$12)</f>
        <v>0</v>
      </c>
      <c r="N55" s="29"/>
      <c r="O55" s="28">
        <f t="shared" si="2"/>
        <v>0</v>
      </c>
      <c r="P55" s="29"/>
      <c r="Q55" s="29"/>
      <c r="R55" s="29"/>
      <c r="S55" s="28">
        <f t="shared" si="3"/>
        <v>0</v>
      </c>
      <c r="T55" s="28">
        <f t="shared" si="4"/>
        <v>0</v>
      </c>
      <c r="U55" s="12"/>
      <c r="V55" s="12" t="str">
        <f ca="1">IF(A55&gt;TODAY(),"FUTURO",IF(AND(K55=0,N55=0,S55=0),"SIN MOVIMIENTO",IF(ABS(T55)&lt;='Metas y Control'!$B$6,"OK","REVISAR CAJA")))</f>
        <v>SIN MOVIMIENTO</v>
      </c>
    </row>
    <row r="56" spans="1:22" x14ac:dyDescent="0.3">
      <c r="A56" s="25">
        <f>IF(YEAR(A55+1)=Dashboard!$B$2,A55+1,"")</f>
        <v>46074</v>
      </c>
      <c r="B56" s="26" t="str">
        <f t="shared" si="0"/>
        <v>febrero</v>
      </c>
      <c r="C56" s="24"/>
      <c r="D56" s="24"/>
      <c r="E56" s="24"/>
      <c r="F56" s="24"/>
      <c r="G56" s="24"/>
      <c r="H56" s="24"/>
      <c r="I56" s="24"/>
      <c r="J56" s="24"/>
      <c r="K56" s="27">
        <f t="shared" si="1"/>
        <v>0</v>
      </c>
      <c r="L56" s="28">
        <f>IF(A56="","",C56*'Menu Productos'!$F$5+D56*'Menu Productos'!$F$6+E56*'Menu Productos'!$F$7+F56*'Menu Productos'!$F$8+G56*'Menu Productos'!$F$9+H56*'Menu Productos'!$F$10+I56*'Menu Productos'!$F$11+J56*'Menu Productos'!$F$12)</f>
        <v>0</v>
      </c>
      <c r="M56" s="28">
        <f>IF(A56="","",C56*'Menu Productos'!$E$5+D56*'Menu Productos'!$E$6+E56*'Menu Productos'!$E$7+F56*'Menu Productos'!$E$8+G56*'Menu Productos'!$E$9+H56*'Menu Productos'!$E$10+I56*'Menu Productos'!$E$11+J56*'Menu Productos'!$E$12)</f>
        <v>0</v>
      </c>
      <c r="N56" s="29"/>
      <c r="O56" s="28">
        <f t="shared" si="2"/>
        <v>0</v>
      </c>
      <c r="P56" s="29"/>
      <c r="Q56" s="29"/>
      <c r="R56" s="29"/>
      <c r="S56" s="28">
        <f t="shared" si="3"/>
        <v>0</v>
      </c>
      <c r="T56" s="28">
        <f t="shared" si="4"/>
        <v>0</v>
      </c>
      <c r="U56" s="12"/>
      <c r="V56" s="12" t="str">
        <f ca="1">IF(A56&gt;TODAY(),"FUTURO",IF(AND(K56=0,N56=0,S56=0),"SIN MOVIMIENTO",IF(ABS(T56)&lt;='Metas y Control'!$B$6,"OK","REVISAR CAJA")))</f>
        <v>SIN MOVIMIENTO</v>
      </c>
    </row>
    <row r="57" spans="1:22" x14ac:dyDescent="0.3">
      <c r="A57" s="25">
        <f>IF(YEAR(A56+1)=Dashboard!$B$2,A56+1,"")</f>
        <v>46075</v>
      </c>
      <c r="B57" s="26" t="str">
        <f t="shared" si="0"/>
        <v>febrero</v>
      </c>
      <c r="C57" s="24"/>
      <c r="D57" s="24"/>
      <c r="E57" s="24"/>
      <c r="F57" s="24"/>
      <c r="G57" s="24"/>
      <c r="H57" s="24"/>
      <c r="I57" s="24"/>
      <c r="J57" s="24"/>
      <c r="K57" s="27">
        <f t="shared" si="1"/>
        <v>0</v>
      </c>
      <c r="L57" s="28">
        <f>IF(A57="","",C57*'Menu Productos'!$F$5+D57*'Menu Productos'!$F$6+E57*'Menu Productos'!$F$7+F57*'Menu Productos'!$F$8+G57*'Menu Productos'!$F$9+H57*'Menu Productos'!$F$10+I57*'Menu Productos'!$F$11+J57*'Menu Productos'!$F$12)</f>
        <v>0</v>
      </c>
      <c r="M57" s="28">
        <f>IF(A57="","",C57*'Menu Productos'!$E$5+D57*'Menu Productos'!$E$6+E57*'Menu Productos'!$E$7+F57*'Menu Productos'!$E$8+G57*'Menu Productos'!$E$9+H57*'Menu Productos'!$E$10+I57*'Menu Productos'!$E$11+J57*'Menu Productos'!$E$12)</f>
        <v>0</v>
      </c>
      <c r="N57" s="29"/>
      <c r="O57" s="28">
        <f t="shared" si="2"/>
        <v>0</v>
      </c>
      <c r="P57" s="29"/>
      <c r="Q57" s="29"/>
      <c r="R57" s="29"/>
      <c r="S57" s="28">
        <f t="shared" si="3"/>
        <v>0</v>
      </c>
      <c r="T57" s="28">
        <f t="shared" si="4"/>
        <v>0</v>
      </c>
      <c r="U57" s="12"/>
      <c r="V57" s="12" t="str">
        <f ca="1">IF(A57&gt;TODAY(),"FUTURO",IF(AND(K57=0,N57=0,S57=0),"SIN MOVIMIENTO",IF(ABS(T57)&lt;='Metas y Control'!$B$6,"OK","REVISAR CAJA")))</f>
        <v>SIN MOVIMIENTO</v>
      </c>
    </row>
    <row r="58" spans="1:22" x14ac:dyDescent="0.3">
      <c r="A58" s="25">
        <f>IF(YEAR(A57+1)=Dashboard!$B$2,A57+1,"")</f>
        <v>46076</v>
      </c>
      <c r="B58" s="26" t="str">
        <f t="shared" si="0"/>
        <v>febrero</v>
      </c>
      <c r="C58" s="24"/>
      <c r="D58" s="24"/>
      <c r="E58" s="24"/>
      <c r="F58" s="24"/>
      <c r="G58" s="24"/>
      <c r="H58" s="24"/>
      <c r="I58" s="24"/>
      <c r="J58" s="24"/>
      <c r="K58" s="27">
        <f t="shared" si="1"/>
        <v>0</v>
      </c>
      <c r="L58" s="28">
        <f>IF(A58="","",C58*'Menu Productos'!$F$5+D58*'Menu Productos'!$F$6+E58*'Menu Productos'!$F$7+F58*'Menu Productos'!$F$8+G58*'Menu Productos'!$F$9+H58*'Menu Productos'!$F$10+I58*'Menu Productos'!$F$11+J58*'Menu Productos'!$F$12)</f>
        <v>0</v>
      </c>
      <c r="M58" s="28">
        <f>IF(A58="","",C58*'Menu Productos'!$E$5+D58*'Menu Productos'!$E$6+E58*'Menu Productos'!$E$7+F58*'Menu Productos'!$E$8+G58*'Menu Productos'!$E$9+H58*'Menu Productos'!$E$10+I58*'Menu Productos'!$E$11+J58*'Menu Productos'!$E$12)</f>
        <v>0</v>
      </c>
      <c r="N58" s="29"/>
      <c r="O58" s="28">
        <f t="shared" si="2"/>
        <v>0</v>
      </c>
      <c r="P58" s="29"/>
      <c r="Q58" s="29"/>
      <c r="R58" s="29"/>
      <c r="S58" s="28">
        <f t="shared" si="3"/>
        <v>0</v>
      </c>
      <c r="T58" s="28">
        <f t="shared" si="4"/>
        <v>0</v>
      </c>
      <c r="U58" s="12"/>
      <c r="V58" s="12" t="str">
        <f ca="1">IF(A58&gt;TODAY(),"FUTURO",IF(AND(K58=0,N58=0,S58=0),"SIN MOVIMIENTO",IF(ABS(T58)&lt;='Metas y Control'!$B$6,"OK","REVISAR CAJA")))</f>
        <v>SIN MOVIMIENTO</v>
      </c>
    </row>
    <row r="59" spans="1:22" x14ac:dyDescent="0.3">
      <c r="A59" s="25">
        <f>IF(YEAR(A58+1)=Dashboard!$B$2,A58+1,"")</f>
        <v>46077</v>
      </c>
      <c r="B59" s="26" t="str">
        <f t="shared" si="0"/>
        <v>febrero</v>
      </c>
      <c r="C59" s="24"/>
      <c r="D59" s="24"/>
      <c r="E59" s="24"/>
      <c r="F59" s="24"/>
      <c r="G59" s="24"/>
      <c r="H59" s="24"/>
      <c r="I59" s="24"/>
      <c r="J59" s="24"/>
      <c r="K59" s="27">
        <f t="shared" si="1"/>
        <v>0</v>
      </c>
      <c r="L59" s="28">
        <f>IF(A59="","",C59*'Menu Productos'!$F$5+D59*'Menu Productos'!$F$6+E59*'Menu Productos'!$F$7+F59*'Menu Productos'!$F$8+G59*'Menu Productos'!$F$9+H59*'Menu Productos'!$F$10+I59*'Menu Productos'!$F$11+J59*'Menu Productos'!$F$12)</f>
        <v>0</v>
      </c>
      <c r="M59" s="28">
        <f>IF(A59="","",C59*'Menu Productos'!$E$5+D59*'Menu Productos'!$E$6+E59*'Menu Productos'!$E$7+F59*'Menu Productos'!$E$8+G59*'Menu Productos'!$E$9+H59*'Menu Productos'!$E$10+I59*'Menu Productos'!$E$11+J59*'Menu Productos'!$E$12)</f>
        <v>0</v>
      </c>
      <c r="N59" s="29"/>
      <c r="O59" s="28">
        <f t="shared" si="2"/>
        <v>0</v>
      </c>
      <c r="P59" s="29"/>
      <c r="Q59" s="29"/>
      <c r="R59" s="29"/>
      <c r="S59" s="28">
        <f t="shared" si="3"/>
        <v>0</v>
      </c>
      <c r="T59" s="28">
        <f t="shared" si="4"/>
        <v>0</v>
      </c>
      <c r="U59" s="12"/>
      <c r="V59" s="12" t="str">
        <f ca="1">IF(A59&gt;TODAY(),"FUTURO",IF(AND(K59=0,N59=0,S59=0),"SIN MOVIMIENTO",IF(ABS(T59)&lt;='Metas y Control'!$B$6,"OK","REVISAR CAJA")))</f>
        <v>SIN MOVIMIENTO</v>
      </c>
    </row>
    <row r="60" spans="1:22" x14ac:dyDescent="0.3">
      <c r="A60" s="25">
        <f>IF(YEAR(A59+1)=Dashboard!$B$2,A59+1,"")</f>
        <v>46078</v>
      </c>
      <c r="B60" s="26" t="str">
        <f t="shared" si="0"/>
        <v>febrero</v>
      </c>
      <c r="C60" s="24"/>
      <c r="D60" s="24"/>
      <c r="E60" s="24"/>
      <c r="F60" s="24"/>
      <c r="G60" s="24"/>
      <c r="H60" s="24"/>
      <c r="I60" s="24"/>
      <c r="J60" s="24"/>
      <c r="K60" s="27">
        <f t="shared" si="1"/>
        <v>0</v>
      </c>
      <c r="L60" s="28">
        <f>IF(A60="","",C60*'Menu Productos'!$F$5+D60*'Menu Productos'!$F$6+E60*'Menu Productos'!$F$7+F60*'Menu Productos'!$F$8+G60*'Menu Productos'!$F$9+H60*'Menu Productos'!$F$10+I60*'Menu Productos'!$F$11+J60*'Menu Productos'!$F$12)</f>
        <v>0</v>
      </c>
      <c r="M60" s="28">
        <f>IF(A60="","",C60*'Menu Productos'!$E$5+D60*'Menu Productos'!$E$6+E60*'Menu Productos'!$E$7+F60*'Menu Productos'!$E$8+G60*'Menu Productos'!$E$9+H60*'Menu Productos'!$E$10+I60*'Menu Productos'!$E$11+J60*'Menu Productos'!$E$12)</f>
        <v>0</v>
      </c>
      <c r="N60" s="29"/>
      <c r="O60" s="28">
        <f t="shared" si="2"/>
        <v>0</v>
      </c>
      <c r="P60" s="29"/>
      <c r="Q60" s="29"/>
      <c r="R60" s="29"/>
      <c r="S60" s="28">
        <f t="shared" si="3"/>
        <v>0</v>
      </c>
      <c r="T60" s="28">
        <f t="shared" si="4"/>
        <v>0</v>
      </c>
      <c r="U60" s="12"/>
      <c r="V60" s="12" t="str">
        <f ca="1">IF(A60&gt;TODAY(),"FUTURO",IF(AND(K60=0,N60=0,S60=0),"SIN MOVIMIENTO",IF(ABS(T60)&lt;='Metas y Control'!$B$6,"OK","REVISAR CAJA")))</f>
        <v>SIN MOVIMIENTO</v>
      </c>
    </row>
    <row r="61" spans="1:22" x14ac:dyDescent="0.3">
      <c r="A61" s="25">
        <f>IF(YEAR(A60+1)=Dashboard!$B$2,A60+1,"")</f>
        <v>46079</v>
      </c>
      <c r="B61" s="26" t="str">
        <f t="shared" si="0"/>
        <v>febrero</v>
      </c>
      <c r="C61" s="24"/>
      <c r="D61" s="24"/>
      <c r="E61" s="24"/>
      <c r="F61" s="24"/>
      <c r="G61" s="24"/>
      <c r="H61" s="24"/>
      <c r="I61" s="24"/>
      <c r="J61" s="24"/>
      <c r="K61" s="27">
        <f t="shared" si="1"/>
        <v>0</v>
      </c>
      <c r="L61" s="28">
        <f>IF(A61="","",C61*'Menu Productos'!$F$5+D61*'Menu Productos'!$F$6+E61*'Menu Productos'!$F$7+F61*'Menu Productos'!$F$8+G61*'Menu Productos'!$F$9+H61*'Menu Productos'!$F$10+I61*'Menu Productos'!$F$11+J61*'Menu Productos'!$F$12)</f>
        <v>0</v>
      </c>
      <c r="M61" s="28">
        <f>IF(A61="","",C61*'Menu Productos'!$E$5+D61*'Menu Productos'!$E$6+E61*'Menu Productos'!$E$7+F61*'Menu Productos'!$E$8+G61*'Menu Productos'!$E$9+H61*'Menu Productos'!$E$10+I61*'Menu Productos'!$E$11+J61*'Menu Productos'!$E$12)</f>
        <v>0</v>
      </c>
      <c r="N61" s="29"/>
      <c r="O61" s="28">
        <f t="shared" si="2"/>
        <v>0</v>
      </c>
      <c r="P61" s="29"/>
      <c r="Q61" s="29"/>
      <c r="R61" s="29"/>
      <c r="S61" s="28">
        <f t="shared" si="3"/>
        <v>0</v>
      </c>
      <c r="T61" s="28">
        <f t="shared" si="4"/>
        <v>0</v>
      </c>
      <c r="U61" s="12"/>
      <c r="V61" s="12" t="str">
        <f ca="1">IF(A61&gt;TODAY(),"FUTURO",IF(AND(K61=0,N61=0,S61=0),"SIN MOVIMIENTO",IF(ABS(T61)&lt;='Metas y Control'!$B$6,"OK","REVISAR CAJA")))</f>
        <v>SIN MOVIMIENTO</v>
      </c>
    </row>
    <row r="62" spans="1:22" x14ac:dyDescent="0.3">
      <c r="A62" s="25">
        <f>IF(YEAR(A61+1)=Dashboard!$B$2,A61+1,"")</f>
        <v>46080</v>
      </c>
      <c r="B62" s="26" t="str">
        <f t="shared" si="0"/>
        <v>febrero</v>
      </c>
      <c r="C62" s="24"/>
      <c r="D62" s="24"/>
      <c r="E62" s="24"/>
      <c r="F62" s="24"/>
      <c r="G62" s="24"/>
      <c r="H62" s="24"/>
      <c r="I62" s="24"/>
      <c r="J62" s="24"/>
      <c r="K62" s="27">
        <f t="shared" si="1"/>
        <v>0</v>
      </c>
      <c r="L62" s="28">
        <f>IF(A62="","",C62*'Menu Productos'!$F$5+D62*'Menu Productos'!$F$6+E62*'Menu Productos'!$F$7+F62*'Menu Productos'!$F$8+G62*'Menu Productos'!$F$9+H62*'Menu Productos'!$F$10+I62*'Menu Productos'!$F$11+J62*'Menu Productos'!$F$12)</f>
        <v>0</v>
      </c>
      <c r="M62" s="28">
        <f>IF(A62="","",C62*'Menu Productos'!$E$5+D62*'Menu Productos'!$E$6+E62*'Menu Productos'!$E$7+F62*'Menu Productos'!$E$8+G62*'Menu Productos'!$E$9+H62*'Menu Productos'!$E$10+I62*'Menu Productos'!$E$11+J62*'Menu Productos'!$E$12)</f>
        <v>0</v>
      </c>
      <c r="N62" s="29"/>
      <c r="O62" s="28">
        <f t="shared" si="2"/>
        <v>0</v>
      </c>
      <c r="P62" s="29"/>
      <c r="Q62" s="29"/>
      <c r="R62" s="29"/>
      <c r="S62" s="28">
        <f t="shared" si="3"/>
        <v>0</v>
      </c>
      <c r="T62" s="28">
        <f t="shared" si="4"/>
        <v>0</v>
      </c>
      <c r="U62" s="12"/>
      <c r="V62" s="12" t="str">
        <f ca="1">IF(A62&gt;TODAY(),"FUTURO",IF(AND(K62=0,N62=0,S62=0),"SIN MOVIMIENTO",IF(ABS(T62)&lt;='Metas y Control'!$B$6,"OK","REVISAR CAJA")))</f>
        <v>SIN MOVIMIENTO</v>
      </c>
    </row>
    <row r="63" spans="1:22" x14ac:dyDescent="0.3">
      <c r="A63" s="25">
        <f>IF(YEAR(A62+1)=Dashboard!$B$2,A62+1,"")</f>
        <v>46081</v>
      </c>
      <c r="B63" s="26" t="str">
        <f t="shared" si="0"/>
        <v>febrero</v>
      </c>
      <c r="C63" s="24"/>
      <c r="D63" s="24"/>
      <c r="E63" s="24"/>
      <c r="F63" s="24"/>
      <c r="G63" s="24"/>
      <c r="H63" s="24"/>
      <c r="I63" s="24"/>
      <c r="J63" s="24"/>
      <c r="K63" s="27">
        <f t="shared" si="1"/>
        <v>0</v>
      </c>
      <c r="L63" s="28">
        <f>IF(A63="","",C63*'Menu Productos'!$F$5+D63*'Menu Productos'!$F$6+E63*'Menu Productos'!$F$7+F63*'Menu Productos'!$F$8+G63*'Menu Productos'!$F$9+H63*'Menu Productos'!$F$10+I63*'Menu Productos'!$F$11+J63*'Menu Productos'!$F$12)</f>
        <v>0</v>
      </c>
      <c r="M63" s="28">
        <f>IF(A63="","",C63*'Menu Productos'!$E$5+D63*'Menu Productos'!$E$6+E63*'Menu Productos'!$E$7+F63*'Menu Productos'!$E$8+G63*'Menu Productos'!$E$9+H63*'Menu Productos'!$E$10+I63*'Menu Productos'!$E$11+J63*'Menu Productos'!$E$12)</f>
        <v>0</v>
      </c>
      <c r="N63" s="29"/>
      <c r="O63" s="28">
        <f t="shared" si="2"/>
        <v>0</v>
      </c>
      <c r="P63" s="29"/>
      <c r="Q63" s="29"/>
      <c r="R63" s="29"/>
      <c r="S63" s="28">
        <f t="shared" si="3"/>
        <v>0</v>
      </c>
      <c r="T63" s="28">
        <f t="shared" si="4"/>
        <v>0</v>
      </c>
      <c r="U63" s="12"/>
      <c r="V63" s="12" t="str">
        <f ca="1">IF(A63&gt;TODAY(),"FUTURO",IF(AND(K63=0,N63=0,S63=0),"SIN MOVIMIENTO",IF(ABS(T63)&lt;='Metas y Control'!$B$6,"OK","REVISAR CAJA")))</f>
        <v>SIN MOVIMIENTO</v>
      </c>
    </row>
    <row r="64" spans="1:22" x14ac:dyDescent="0.3">
      <c r="A64" s="25">
        <f>IF(YEAR(A63+1)=Dashboard!$B$2,A63+1,"")</f>
        <v>46082</v>
      </c>
      <c r="B64" s="26" t="str">
        <f t="shared" si="0"/>
        <v>marzo</v>
      </c>
      <c r="C64" s="24"/>
      <c r="D64" s="24"/>
      <c r="E64" s="24"/>
      <c r="F64" s="24"/>
      <c r="G64" s="24"/>
      <c r="H64" s="24"/>
      <c r="I64" s="24"/>
      <c r="J64" s="24"/>
      <c r="K64" s="27">
        <f t="shared" si="1"/>
        <v>0</v>
      </c>
      <c r="L64" s="28">
        <f>IF(A64="","",C64*'Menu Productos'!$F$5+D64*'Menu Productos'!$F$6+E64*'Menu Productos'!$F$7+F64*'Menu Productos'!$F$8+G64*'Menu Productos'!$F$9+H64*'Menu Productos'!$F$10+I64*'Menu Productos'!$F$11+J64*'Menu Productos'!$F$12)</f>
        <v>0</v>
      </c>
      <c r="M64" s="28">
        <f>IF(A64="","",C64*'Menu Productos'!$E$5+D64*'Menu Productos'!$E$6+E64*'Menu Productos'!$E$7+F64*'Menu Productos'!$E$8+G64*'Menu Productos'!$E$9+H64*'Menu Productos'!$E$10+I64*'Menu Productos'!$E$11+J64*'Menu Productos'!$E$12)</f>
        <v>0</v>
      </c>
      <c r="N64" s="29"/>
      <c r="O64" s="28">
        <f t="shared" si="2"/>
        <v>0</v>
      </c>
      <c r="P64" s="29"/>
      <c r="Q64" s="29"/>
      <c r="R64" s="29"/>
      <c r="S64" s="28">
        <f t="shared" si="3"/>
        <v>0</v>
      </c>
      <c r="T64" s="28">
        <f t="shared" si="4"/>
        <v>0</v>
      </c>
      <c r="U64" s="12"/>
      <c r="V64" s="12" t="str">
        <f ca="1">IF(A64&gt;TODAY(),"FUTURO",IF(AND(K64=0,N64=0,S64=0),"SIN MOVIMIENTO",IF(ABS(T64)&lt;='Metas y Control'!$B$6,"OK","REVISAR CAJA")))</f>
        <v>SIN MOVIMIENTO</v>
      </c>
    </row>
    <row r="65" spans="1:22" x14ac:dyDescent="0.3">
      <c r="A65" s="25">
        <f>IF(YEAR(A64+1)=Dashboard!$B$2,A64+1,"")</f>
        <v>46083</v>
      </c>
      <c r="B65" s="26" t="str">
        <f t="shared" si="0"/>
        <v>marzo</v>
      </c>
      <c r="C65" s="24"/>
      <c r="D65" s="24"/>
      <c r="E65" s="24"/>
      <c r="F65" s="24"/>
      <c r="G65" s="24"/>
      <c r="H65" s="24"/>
      <c r="I65" s="24"/>
      <c r="J65" s="24"/>
      <c r="K65" s="27">
        <f t="shared" si="1"/>
        <v>0</v>
      </c>
      <c r="L65" s="28">
        <f>IF(A65="","",C65*'Menu Productos'!$F$5+D65*'Menu Productos'!$F$6+E65*'Menu Productos'!$F$7+F65*'Menu Productos'!$F$8+G65*'Menu Productos'!$F$9+H65*'Menu Productos'!$F$10+I65*'Menu Productos'!$F$11+J65*'Menu Productos'!$F$12)</f>
        <v>0</v>
      </c>
      <c r="M65" s="28">
        <f>IF(A65="","",C65*'Menu Productos'!$E$5+D65*'Menu Productos'!$E$6+E65*'Menu Productos'!$E$7+F65*'Menu Productos'!$E$8+G65*'Menu Productos'!$E$9+H65*'Menu Productos'!$E$10+I65*'Menu Productos'!$E$11+J65*'Menu Productos'!$E$12)</f>
        <v>0</v>
      </c>
      <c r="N65" s="29"/>
      <c r="O65" s="28">
        <f t="shared" si="2"/>
        <v>0</v>
      </c>
      <c r="P65" s="29"/>
      <c r="Q65" s="29"/>
      <c r="R65" s="29"/>
      <c r="S65" s="28">
        <f t="shared" si="3"/>
        <v>0</v>
      </c>
      <c r="T65" s="28">
        <f t="shared" si="4"/>
        <v>0</v>
      </c>
      <c r="U65" s="12"/>
      <c r="V65" s="12" t="str">
        <f ca="1">IF(A65&gt;TODAY(),"FUTURO",IF(AND(K65=0,N65=0,S65=0),"SIN MOVIMIENTO",IF(ABS(T65)&lt;='Metas y Control'!$B$6,"OK","REVISAR CAJA")))</f>
        <v>SIN MOVIMIENTO</v>
      </c>
    </row>
    <row r="66" spans="1:22" x14ac:dyDescent="0.3">
      <c r="A66" s="25">
        <f>IF(YEAR(A65+1)=Dashboard!$B$2,A65+1,"")</f>
        <v>46084</v>
      </c>
      <c r="B66" s="26" t="str">
        <f t="shared" si="0"/>
        <v>marzo</v>
      </c>
      <c r="C66" s="24"/>
      <c r="D66" s="24"/>
      <c r="E66" s="24"/>
      <c r="F66" s="24"/>
      <c r="G66" s="24"/>
      <c r="H66" s="24"/>
      <c r="I66" s="24"/>
      <c r="J66" s="24"/>
      <c r="K66" s="27">
        <f t="shared" si="1"/>
        <v>0</v>
      </c>
      <c r="L66" s="28">
        <f>IF(A66="","",C66*'Menu Productos'!$F$5+D66*'Menu Productos'!$F$6+E66*'Menu Productos'!$F$7+F66*'Menu Productos'!$F$8+G66*'Menu Productos'!$F$9+H66*'Menu Productos'!$F$10+I66*'Menu Productos'!$F$11+J66*'Menu Productos'!$F$12)</f>
        <v>0</v>
      </c>
      <c r="M66" s="28">
        <f>IF(A66="","",C66*'Menu Productos'!$E$5+D66*'Menu Productos'!$E$6+E66*'Menu Productos'!$E$7+F66*'Menu Productos'!$E$8+G66*'Menu Productos'!$E$9+H66*'Menu Productos'!$E$10+I66*'Menu Productos'!$E$11+J66*'Menu Productos'!$E$12)</f>
        <v>0</v>
      </c>
      <c r="N66" s="29"/>
      <c r="O66" s="28">
        <f t="shared" si="2"/>
        <v>0</v>
      </c>
      <c r="P66" s="29"/>
      <c r="Q66" s="29"/>
      <c r="R66" s="29"/>
      <c r="S66" s="28">
        <f t="shared" si="3"/>
        <v>0</v>
      </c>
      <c r="T66" s="28">
        <f t="shared" si="4"/>
        <v>0</v>
      </c>
      <c r="U66" s="12"/>
      <c r="V66" s="12" t="str">
        <f ca="1">IF(A66&gt;TODAY(),"FUTURO",IF(AND(K66=0,N66=0,S66=0),"SIN MOVIMIENTO",IF(ABS(T66)&lt;='Metas y Control'!$B$6,"OK","REVISAR CAJA")))</f>
        <v>SIN MOVIMIENTO</v>
      </c>
    </row>
    <row r="67" spans="1:22" x14ac:dyDescent="0.3">
      <c r="A67" s="25">
        <f>IF(YEAR(A66+1)=Dashboard!$B$2,A66+1,"")</f>
        <v>46085</v>
      </c>
      <c r="B67" s="26" t="str">
        <f t="shared" si="0"/>
        <v>marzo</v>
      </c>
      <c r="C67" s="24"/>
      <c r="D67" s="24"/>
      <c r="E67" s="24"/>
      <c r="F67" s="24"/>
      <c r="G67" s="24"/>
      <c r="H67" s="24"/>
      <c r="I67" s="24"/>
      <c r="J67" s="24"/>
      <c r="K67" s="27">
        <f t="shared" si="1"/>
        <v>0</v>
      </c>
      <c r="L67" s="28">
        <f>IF(A67="","",C67*'Menu Productos'!$F$5+D67*'Menu Productos'!$F$6+E67*'Menu Productos'!$F$7+F67*'Menu Productos'!$F$8+G67*'Menu Productos'!$F$9+H67*'Menu Productos'!$F$10+I67*'Menu Productos'!$F$11+J67*'Menu Productos'!$F$12)</f>
        <v>0</v>
      </c>
      <c r="M67" s="28">
        <f>IF(A67="","",C67*'Menu Productos'!$E$5+D67*'Menu Productos'!$E$6+E67*'Menu Productos'!$E$7+F67*'Menu Productos'!$E$8+G67*'Menu Productos'!$E$9+H67*'Menu Productos'!$E$10+I67*'Menu Productos'!$E$11+J67*'Menu Productos'!$E$12)</f>
        <v>0</v>
      </c>
      <c r="N67" s="29"/>
      <c r="O67" s="28">
        <f t="shared" si="2"/>
        <v>0</v>
      </c>
      <c r="P67" s="29"/>
      <c r="Q67" s="29"/>
      <c r="R67" s="29"/>
      <c r="S67" s="28">
        <f t="shared" si="3"/>
        <v>0</v>
      </c>
      <c r="T67" s="28">
        <f t="shared" si="4"/>
        <v>0</v>
      </c>
      <c r="U67" s="12"/>
      <c r="V67" s="12" t="str">
        <f ca="1">IF(A67&gt;TODAY(),"FUTURO",IF(AND(K67=0,N67=0,S67=0),"SIN MOVIMIENTO",IF(ABS(T67)&lt;='Metas y Control'!$B$6,"OK","REVISAR CAJA")))</f>
        <v>SIN MOVIMIENTO</v>
      </c>
    </row>
    <row r="68" spans="1:22" x14ac:dyDescent="0.3">
      <c r="A68" s="25">
        <f>IF(YEAR(A67+1)=Dashboard!$B$2,A67+1,"")</f>
        <v>46086</v>
      </c>
      <c r="B68" s="26" t="str">
        <f t="shared" si="0"/>
        <v>marzo</v>
      </c>
      <c r="C68" s="24"/>
      <c r="D68" s="24"/>
      <c r="E68" s="24"/>
      <c r="F68" s="24"/>
      <c r="G68" s="24"/>
      <c r="H68" s="24"/>
      <c r="I68" s="24"/>
      <c r="J68" s="24"/>
      <c r="K68" s="27">
        <f t="shared" si="1"/>
        <v>0</v>
      </c>
      <c r="L68" s="28">
        <f>IF(A68="","",C68*'Menu Productos'!$F$5+D68*'Menu Productos'!$F$6+E68*'Menu Productos'!$F$7+F68*'Menu Productos'!$F$8+G68*'Menu Productos'!$F$9+H68*'Menu Productos'!$F$10+I68*'Menu Productos'!$F$11+J68*'Menu Productos'!$F$12)</f>
        <v>0</v>
      </c>
      <c r="M68" s="28">
        <f>IF(A68="","",C68*'Menu Productos'!$E$5+D68*'Menu Productos'!$E$6+E68*'Menu Productos'!$E$7+F68*'Menu Productos'!$E$8+G68*'Menu Productos'!$E$9+H68*'Menu Productos'!$E$10+I68*'Menu Productos'!$E$11+J68*'Menu Productos'!$E$12)</f>
        <v>0</v>
      </c>
      <c r="N68" s="29"/>
      <c r="O68" s="28">
        <f t="shared" si="2"/>
        <v>0</v>
      </c>
      <c r="P68" s="29"/>
      <c r="Q68" s="29"/>
      <c r="R68" s="29"/>
      <c r="S68" s="28">
        <f t="shared" si="3"/>
        <v>0</v>
      </c>
      <c r="T68" s="28">
        <f t="shared" si="4"/>
        <v>0</v>
      </c>
      <c r="U68" s="12"/>
      <c r="V68" s="12" t="str">
        <f ca="1">IF(A68&gt;TODAY(),"FUTURO",IF(AND(K68=0,N68=0,S68=0),"SIN MOVIMIENTO",IF(ABS(T68)&lt;='Metas y Control'!$B$6,"OK","REVISAR CAJA")))</f>
        <v>SIN MOVIMIENTO</v>
      </c>
    </row>
    <row r="69" spans="1:22" x14ac:dyDescent="0.3">
      <c r="A69" s="25">
        <f>IF(YEAR(A68+1)=Dashboard!$B$2,A68+1,"")</f>
        <v>46087</v>
      </c>
      <c r="B69" s="26" t="str">
        <f t="shared" si="0"/>
        <v>marzo</v>
      </c>
      <c r="C69" s="24"/>
      <c r="D69" s="24"/>
      <c r="E69" s="24"/>
      <c r="F69" s="24"/>
      <c r="G69" s="24"/>
      <c r="H69" s="24"/>
      <c r="I69" s="24"/>
      <c r="J69" s="24"/>
      <c r="K69" s="27">
        <f t="shared" si="1"/>
        <v>0</v>
      </c>
      <c r="L69" s="28">
        <f>IF(A69="","",C69*'Menu Productos'!$F$5+D69*'Menu Productos'!$F$6+E69*'Menu Productos'!$F$7+F69*'Menu Productos'!$F$8+G69*'Menu Productos'!$F$9+H69*'Menu Productos'!$F$10+I69*'Menu Productos'!$F$11+J69*'Menu Productos'!$F$12)</f>
        <v>0</v>
      </c>
      <c r="M69" s="28">
        <f>IF(A69="","",C69*'Menu Productos'!$E$5+D69*'Menu Productos'!$E$6+E69*'Menu Productos'!$E$7+F69*'Menu Productos'!$E$8+G69*'Menu Productos'!$E$9+H69*'Menu Productos'!$E$10+I69*'Menu Productos'!$E$11+J69*'Menu Productos'!$E$12)</f>
        <v>0</v>
      </c>
      <c r="N69" s="29"/>
      <c r="O69" s="28">
        <f t="shared" si="2"/>
        <v>0</v>
      </c>
      <c r="P69" s="29"/>
      <c r="Q69" s="29"/>
      <c r="R69" s="29"/>
      <c r="S69" s="28">
        <f t="shared" si="3"/>
        <v>0</v>
      </c>
      <c r="T69" s="28">
        <f t="shared" si="4"/>
        <v>0</v>
      </c>
      <c r="U69" s="12"/>
      <c r="V69" s="12" t="str">
        <f ca="1">IF(A69&gt;TODAY(),"FUTURO",IF(AND(K69=0,N69=0,S69=0),"SIN MOVIMIENTO",IF(ABS(T69)&lt;='Metas y Control'!$B$6,"OK","REVISAR CAJA")))</f>
        <v>SIN MOVIMIENTO</v>
      </c>
    </row>
    <row r="70" spans="1:22" x14ac:dyDescent="0.3">
      <c r="A70" s="25">
        <f>IF(YEAR(A69+1)=Dashboard!$B$2,A69+1,"")</f>
        <v>46088</v>
      </c>
      <c r="B70" s="26" t="str">
        <f t="shared" ref="B70:B133" si="5">IF(A70="","",TEXT(A70,"mmmm"))</f>
        <v>marzo</v>
      </c>
      <c r="C70" s="24"/>
      <c r="D70" s="24"/>
      <c r="E70" s="24"/>
      <c r="F70" s="24"/>
      <c r="G70" s="24"/>
      <c r="H70" s="24"/>
      <c r="I70" s="24"/>
      <c r="J70" s="24"/>
      <c r="K70" s="27">
        <f t="shared" ref="K70:K133" si="6">IF(A70="","",SUM(C70:J70))</f>
        <v>0</v>
      </c>
      <c r="L70" s="28">
        <f>IF(A70="","",C70*'Menu Productos'!$F$5+D70*'Menu Productos'!$F$6+E70*'Menu Productos'!$F$7+F70*'Menu Productos'!$F$8+G70*'Menu Productos'!$F$9+H70*'Menu Productos'!$F$10+I70*'Menu Productos'!$F$11+J70*'Menu Productos'!$F$12)</f>
        <v>0</v>
      </c>
      <c r="M70" s="28">
        <f>IF(A70="","",C70*'Menu Productos'!$E$5+D70*'Menu Productos'!$E$6+E70*'Menu Productos'!$E$7+F70*'Menu Productos'!$E$8+G70*'Menu Productos'!$E$9+H70*'Menu Productos'!$E$10+I70*'Menu Productos'!$E$11+J70*'Menu Productos'!$E$12)</f>
        <v>0</v>
      </c>
      <c r="N70" s="29"/>
      <c r="O70" s="28">
        <f t="shared" ref="O70:O133" si="7">IF(A70="","",L70-M70-N70)</f>
        <v>0</v>
      </c>
      <c r="P70" s="29"/>
      <c r="Q70" s="29"/>
      <c r="R70" s="29"/>
      <c r="S70" s="28">
        <f t="shared" ref="S70:S133" si="8">IF(A70="","",SUM(P70:R70))</f>
        <v>0</v>
      </c>
      <c r="T70" s="28">
        <f t="shared" ref="T70:T133" si="9">IF(A70="","",S70-(L70-N70))</f>
        <v>0</v>
      </c>
      <c r="U70" s="12"/>
      <c r="V70" s="12" t="str">
        <f ca="1">IF(A70&gt;TODAY(),"FUTURO",IF(AND(K70=0,N70=0,S70=0),"SIN MOVIMIENTO",IF(ABS(T70)&lt;='Metas y Control'!$B$6,"OK","REVISAR CAJA")))</f>
        <v>SIN MOVIMIENTO</v>
      </c>
    </row>
    <row r="71" spans="1:22" x14ac:dyDescent="0.3">
      <c r="A71" s="25">
        <f>IF(YEAR(A70+1)=Dashboard!$B$2,A70+1,"")</f>
        <v>46089</v>
      </c>
      <c r="B71" s="26" t="str">
        <f t="shared" si="5"/>
        <v>marzo</v>
      </c>
      <c r="C71" s="24"/>
      <c r="D71" s="24"/>
      <c r="E71" s="24"/>
      <c r="F71" s="24"/>
      <c r="G71" s="24"/>
      <c r="H71" s="24"/>
      <c r="I71" s="24"/>
      <c r="J71" s="24"/>
      <c r="K71" s="27">
        <f t="shared" si="6"/>
        <v>0</v>
      </c>
      <c r="L71" s="28">
        <f>IF(A71="","",C71*'Menu Productos'!$F$5+D71*'Menu Productos'!$F$6+E71*'Menu Productos'!$F$7+F71*'Menu Productos'!$F$8+G71*'Menu Productos'!$F$9+H71*'Menu Productos'!$F$10+I71*'Menu Productos'!$F$11+J71*'Menu Productos'!$F$12)</f>
        <v>0</v>
      </c>
      <c r="M71" s="28">
        <f>IF(A71="","",C71*'Menu Productos'!$E$5+D71*'Menu Productos'!$E$6+E71*'Menu Productos'!$E$7+F71*'Menu Productos'!$E$8+G71*'Menu Productos'!$E$9+H71*'Menu Productos'!$E$10+I71*'Menu Productos'!$E$11+J71*'Menu Productos'!$E$12)</f>
        <v>0</v>
      </c>
      <c r="N71" s="29"/>
      <c r="O71" s="28">
        <f t="shared" si="7"/>
        <v>0</v>
      </c>
      <c r="P71" s="29"/>
      <c r="Q71" s="29"/>
      <c r="R71" s="29"/>
      <c r="S71" s="28">
        <f t="shared" si="8"/>
        <v>0</v>
      </c>
      <c r="T71" s="28">
        <f t="shared" si="9"/>
        <v>0</v>
      </c>
      <c r="U71" s="12"/>
      <c r="V71" s="12" t="str">
        <f ca="1">IF(A71&gt;TODAY(),"FUTURO",IF(AND(K71=0,N71=0,S71=0),"SIN MOVIMIENTO",IF(ABS(T71)&lt;='Metas y Control'!$B$6,"OK","REVISAR CAJA")))</f>
        <v>SIN MOVIMIENTO</v>
      </c>
    </row>
    <row r="72" spans="1:22" x14ac:dyDescent="0.3">
      <c r="A72" s="25">
        <f>IF(YEAR(A71+1)=Dashboard!$B$2,A71+1,"")</f>
        <v>46090</v>
      </c>
      <c r="B72" s="26" t="str">
        <f t="shared" si="5"/>
        <v>marzo</v>
      </c>
      <c r="C72" s="24"/>
      <c r="D72" s="24"/>
      <c r="E72" s="24"/>
      <c r="F72" s="24"/>
      <c r="G72" s="24"/>
      <c r="H72" s="24"/>
      <c r="I72" s="24"/>
      <c r="J72" s="24"/>
      <c r="K72" s="27">
        <f t="shared" si="6"/>
        <v>0</v>
      </c>
      <c r="L72" s="28">
        <f>IF(A72="","",C72*'Menu Productos'!$F$5+D72*'Menu Productos'!$F$6+E72*'Menu Productos'!$F$7+F72*'Menu Productos'!$F$8+G72*'Menu Productos'!$F$9+H72*'Menu Productos'!$F$10+I72*'Menu Productos'!$F$11+J72*'Menu Productos'!$F$12)</f>
        <v>0</v>
      </c>
      <c r="M72" s="28">
        <f>IF(A72="","",C72*'Menu Productos'!$E$5+D72*'Menu Productos'!$E$6+E72*'Menu Productos'!$E$7+F72*'Menu Productos'!$E$8+G72*'Menu Productos'!$E$9+H72*'Menu Productos'!$E$10+I72*'Menu Productos'!$E$11+J72*'Menu Productos'!$E$12)</f>
        <v>0</v>
      </c>
      <c r="N72" s="29"/>
      <c r="O72" s="28">
        <f t="shared" si="7"/>
        <v>0</v>
      </c>
      <c r="P72" s="29"/>
      <c r="Q72" s="29"/>
      <c r="R72" s="29"/>
      <c r="S72" s="28">
        <f t="shared" si="8"/>
        <v>0</v>
      </c>
      <c r="T72" s="28">
        <f t="shared" si="9"/>
        <v>0</v>
      </c>
      <c r="U72" s="12"/>
      <c r="V72" s="12" t="str">
        <f ca="1">IF(A72&gt;TODAY(),"FUTURO",IF(AND(K72=0,N72=0,S72=0),"SIN MOVIMIENTO",IF(ABS(T72)&lt;='Metas y Control'!$B$6,"OK","REVISAR CAJA")))</f>
        <v>SIN MOVIMIENTO</v>
      </c>
    </row>
    <row r="73" spans="1:22" x14ac:dyDescent="0.3">
      <c r="A73" s="25">
        <f>IF(YEAR(A72+1)=Dashboard!$B$2,A72+1,"")</f>
        <v>46091</v>
      </c>
      <c r="B73" s="26" t="str">
        <f t="shared" si="5"/>
        <v>marzo</v>
      </c>
      <c r="C73" s="24"/>
      <c r="D73" s="24"/>
      <c r="E73" s="24"/>
      <c r="F73" s="24"/>
      <c r="G73" s="24"/>
      <c r="H73" s="24"/>
      <c r="I73" s="24"/>
      <c r="J73" s="24"/>
      <c r="K73" s="27">
        <f t="shared" si="6"/>
        <v>0</v>
      </c>
      <c r="L73" s="28">
        <f>IF(A73="","",C73*'Menu Productos'!$F$5+D73*'Menu Productos'!$F$6+E73*'Menu Productos'!$F$7+F73*'Menu Productos'!$F$8+G73*'Menu Productos'!$F$9+H73*'Menu Productos'!$F$10+I73*'Menu Productos'!$F$11+J73*'Menu Productos'!$F$12)</f>
        <v>0</v>
      </c>
      <c r="M73" s="28">
        <f>IF(A73="","",C73*'Menu Productos'!$E$5+D73*'Menu Productos'!$E$6+E73*'Menu Productos'!$E$7+F73*'Menu Productos'!$E$8+G73*'Menu Productos'!$E$9+H73*'Menu Productos'!$E$10+I73*'Menu Productos'!$E$11+J73*'Menu Productos'!$E$12)</f>
        <v>0</v>
      </c>
      <c r="N73" s="29"/>
      <c r="O73" s="28">
        <f t="shared" si="7"/>
        <v>0</v>
      </c>
      <c r="P73" s="29"/>
      <c r="Q73" s="29"/>
      <c r="R73" s="29"/>
      <c r="S73" s="28">
        <f t="shared" si="8"/>
        <v>0</v>
      </c>
      <c r="T73" s="28">
        <f t="shared" si="9"/>
        <v>0</v>
      </c>
      <c r="U73" s="12"/>
      <c r="V73" s="12" t="str">
        <f ca="1">IF(A73&gt;TODAY(),"FUTURO",IF(AND(K73=0,N73=0,S73=0),"SIN MOVIMIENTO",IF(ABS(T73)&lt;='Metas y Control'!$B$6,"OK","REVISAR CAJA")))</f>
        <v>SIN MOVIMIENTO</v>
      </c>
    </row>
    <row r="74" spans="1:22" x14ac:dyDescent="0.3">
      <c r="A74" s="25">
        <f>IF(YEAR(A73+1)=Dashboard!$B$2,A73+1,"")</f>
        <v>46092</v>
      </c>
      <c r="B74" s="26" t="str">
        <f t="shared" si="5"/>
        <v>marzo</v>
      </c>
      <c r="C74" s="24"/>
      <c r="D74" s="24"/>
      <c r="E74" s="24"/>
      <c r="F74" s="24"/>
      <c r="G74" s="24"/>
      <c r="H74" s="24"/>
      <c r="I74" s="24"/>
      <c r="J74" s="24"/>
      <c r="K74" s="27">
        <f t="shared" si="6"/>
        <v>0</v>
      </c>
      <c r="L74" s="28">
        <f>IF(A74="","",C74*'Menu Productos'!$F$5+D74*'Menu Productos'!$F$6+E74*'Menu Productos'!$F$7+F74*'Menu Productos'!$F$8+G74*'Menu Productos'!$F$9+H74*'Menu Productos'!$F$10+I74*'Menu Productos'!$F$11+J74*'Menu Productos'!$F$12)</f>
        <v>0</v>
      </c>
      <c r="M74" s="28">
        <f>IF(A74="","",C74*'Menu Productos'!$E$5+D74*'Menu Productos'!$E$6+E74*'Menu Productos'!$E$7+F74*'Menu Productos'!$E$8+G74*'Menu Productos'!$E$9+H74*'Menu Productos'!$E$10+I74*'Menu Productos'!$E$11+J74*'Menu Productos'!$E$12)</f>
        <v>0</v>
      </c>
      <c r="N74" s="29"/>
      <c r="O74" s="28">
        <f t="shared" si="7"/>
        <v>0</v>
      </c>
      <c r="P74" s="29"/>
      <c r="Q74" s="29"/>
      <c r="R74" s="29"/>
      <c r="S74" s="28">
        <f t="shared" si="8"/>
        <v>0</v>
      </c>
      <c r="T74" s="28">
        <f t="shared" si="9"/>
        <v>0</v>
      </c>
      <c r="U74" s="12"/>
      <c r="V74" s="12" t="str">
        <f ca="1">IF(A74&gt;TODAY(),"FUTURO",IF(AND(K74=0,N74=0,S74=0),"SIN MOVIMIENTO",IF(ABS(T74)&lt;='Metas y Control'!$B$6,"OK","REVISAR CAJA")))</f>
        <v>SIN MOVIMIENTO</v>
      </c>
    </row>
    <row r="75" spans="1:22" x14ac:dyDescent="0.3">
      <c r="A75" s="25">
        <f>IF(YEAR(A74+1)=Dashboard!$B$2,A74+1,"")</f>
        <v>46093</v>
      </c>
      <c r="B75" s="26" t="str">
        <f t="shared" si="5"/>
        <v>marzo</v>
      </c>
      <c r="C75" s="24"/>
      <c r="D75" s="24"/>
      <c r="E75" s="24"/>
      <c r="F75" s="24"/>
      <c r="G75" s="24"/>
      <c r="H75" s="24"/>
      <c r="I75" s="24"/>
      <c r="J75" s="24"/>
      <c r="K75" s="27">
        <f t="shared" si="6"/>
        <v>0</v>
      </c>
      <c r="L75" s="28">
        <f>IF(A75="","",C75*'Menu Productos'!$F$5+D75*'Menu Productos'!$F$6+E75*'Menu Productos'!$F$7+F75*'Menu Productos'!$F$8+G75*'Menu Productos'!$F$9+H75*'Menu Productos'!$F$10+I75*'Menu Productos'!$F$11+J75*'Menu Productos'!$F$12)</f>
        <v>0</v>
      </c>
      <c r="M75" s="28">
        <f>IF(A75="","",C75*'Menu Productos'!$E$5+D75*'Menu Productos'!$E$6+E75*'Menu Productos'!$E$7+F75*'Menu Productos'!$E$8+G75*'Menu Productos'!$E$9+H75*'Menu Productos'!$E$10+I75*'Menu Productos'!$E$11+J75*'Menu Productos'!$E$12)</f>
        <v>0</v>
      </c>
      <c r="N75" s="29"/>
      <c r="O75" s="28">
        <f t="shared" si="7"/>
        <v>0</v>
      </c>
      <c r="P75" s="29"/>
      <c r="Q75" s="29"/>
      <c r="R75" s="29"/>
      <c r="S75" s="28">
        <f t="shared" si="8"/>
        <v>0</v>
      </c>
      <c r="T75" s="28">
        <f t="shared" si="9"/>
        <v>0</v>
      </c>
      <c r="U75" s="12"/>
      <c r="V75" s="12" t="str">
        <f ca="1">IF(A75&gt;TODAY(),"FUTURO",IF(AND(K75=0,N75=0,S75=0),"SIN MOVIMIENTO",IF(ABS(T75)&lt;='Metas y Control'!$B$6,"OK","REVISAR CAJA")))</f>
        <v>SIN MOVIMIENTO</v>
      </c>
    </row>
    <row r="76" spans="1:22" x14ac:dyDescent="0.3">
      <c r="A76" s="25">
        <f>IF(YEAR(A75+1)=Dashboard!$B$2,A75+1,"")</f>
        <v>46094</v>
      </c>
      <c r="B76" s="26" t="str">
        <f t="shared" si="5"/>
        <v>marzo</v>
      </c>
      <c r="C76" s="24"/>
      <c r="D76" s="24"/>
      <c r="E76" s="24"/>
      <c r="F76" s="24"/>
      <c r="G76" s="24"/>
      <c r="H76" s="24"/>
      <c r="I76" s="24"/>
      <c r="J76" s="24"/>
      <c r="K76" s="27">
        <f t="shared" si="6"/>
        <v>0</v>
      </c>
      <c r="L76" s="28">
        <f>IF(A76="","",C76*'Menu Productos'!$F$5+D76*'Menu Productos'!$F$6+E76*'Menu Productos'!$F$7+F76*'Menu Productos'!$F$8+G76*'Menu Productos'!$F$9+H76*'Menu Productos'!$F$10+I76*'Menu Productos'!$F$11+J76*'Menu Productos'!$F$12)</f>
        <v>0</v>
      </c>
      <c r="M76" s="28">
        <f>IF(A76="","",C76*'Menu Productos'!$E$5+D76*'Menu Productos'!$E$6+E76*'Menu Productos'!$E$7+F76*'Menu Productos'!$E$8+G76*'Menu Productos'!$E$9+H76*'Menu Productos'!$E$10+I76*'Menu Productos'!$E$11+J76*'Menu Productos'!$E$12)</f>
        <v>0</v>
      </c>
      <c r="N76" s="29"/>
      <c r="O76" s="28">
        <f t="shared" si="7"/>
        <v>0</v>
      </c>
      <c r="P76" s="29"/>
      <c r="Q76" s="29"/>
      <c r="R76" s="29"/>
      <c r="S76" s="28">
        <f t="shared" si="8"/>
        <v>0</v>
      </c>
      <c r="T76" s="28">
        <f t="shared" si="9"/>
        <v>0</v>
      </c>
      <c r="U76" s="12"/>
      <c r="V76" s="12" t="str">
        <f ca="1">IF(A76&gt;TODAY(),"FUTURO",IF(AND(K76=0,N76=0,S76=0),"SIN MOVIMIENTO",IF(ABS(T76)&lt;='Metas y Control'!$B$6,"OK","REVISAR CAJA")))</f>
        <v>SIN MOVIMIENTO</v>
      </c>
    </row>
    <row r="77" spans="1:22" x14ac:dyDescent="0.3">
      <c r="A77" s="25">
        <f>IF(YEAR(A76+1)=Dashboard!$B$2,A76+1,"")</f>
        <v>46095</v>
      </c>
      <c r="B77" s="26" t="str">
        <f t="shared" si="5"/>
        <v>marzo</v>
      </c>
      <c r="C77" s="24"/>
      <c r="D77" s="24"/>
      <c r="E77" s="24"/>
      <c r="F77" s="24"/>
      <c r="G77" s="24"/>
      <c r="H77" s="24"/>
      <c r="I77" s="24"/>
      <c r="J77" s="24"/>
      <c r="K77" s="27">
        <f t="shared" si="6"/>
        <v>0</v>
      </c>
      <c r="L77" s="28">
        <f>IF(A77="","",C77*'Menu Productos'!$F$5+D77*'Menu Productos'!$F$6+E77*'Menu Productos'!$F$7+F77*'Menu Productos'!$F$8+G77*'Menu Productos'!$F$9+H77*'Menu Productos'!$F$10+I77*'Menu Productos'!$F$11+J77*'Menu Productos'!$F$12)</f>
        <v>0</v>
      </c>
      <c r="M77" s="28">
        <f>IF(A77="","",C77*'Menu Productos'!$E$5+D77*'Menu Productos'!$E$6+E77*'Menu Productos'!$E$7+F77*'Menu Productos'!$E$8+G77*'Menu Productos'!$E$9+H77*'Menu Productos'!$E$10+I77*'Menu Productos'!$E$11+J77*'Menu Productos'!$E$12)</f>
        <v>0</v>
      </c>
      <c r="N77" s="29"/>
      <c r="O77" s="28">
        <f t="shared" si="7"/>
        <v>0</v>
      </c>
      <c r="P77" s="29"/>
      <c r="Q77" s="29"/>
      <c r="R77" s="29"/>
      <c r="S77" s="28">
        <f t="shared" si="8"/>
        <v>0</v>
      </c>
      <c r="T77" s="28">
        <f t="shared" si="9"/>
        <v>0</v>
      </c>
      <c r="U77" s="12"/>
      <c r="V77" s="12" t="str">
        <f ca="1">IF(A77&gt;TODAY(),"FUTURO",IF(AND(K77=0,N77=0,S77=0),"SIN MOVIMIENTO",IF(ABS(T77)&lt;='Metas y Control'!$B$6,"OK","REVISAR CAJA")))</f>
        <v>SIN MOVIMIENTO</v>
      </c>
    </row>
    <row r="78" spans="1:22" x14ac:dyDescent="0.3">
      <c r="A78" s="25">
        <f>IF(YEAR(A77+1)=Dashboard!$B$2,A77+1,"")</f>
        <v>46096</v>
      </c>
      <c r="B78" s="26" t="str">
        <f t="shared" si="5"/>
        <v>marzo</v>
      </c>
      <c r="C78" s="24"/>
      <c r="D78" s="24"/>
      <c r="E78" s="24"/>
      <c r="F78" s="24"/>
      <c r="G78" s="24"/>
      <c r="H78" s="24"/>
      <c r="I78" s="24"/>
      <c r="J78" s="24"/>
      <c r="K78" s="27">
        <f t="shared" si="6"/>
        <v>0</v>
      </c>
      <c r="L78" s="28">
        <f>IF(A78="","",C78*'Menu Productos'!$F$5+D78*'Menu Productos'!$F$6+E78*'Menu Productos'!$F$7+F78*'Menu Productos'!$F$8+G78*'Menu Productos'!$F$9+H78*'Menu Productos'!$F$10+I78*'Menu Productos'!$F$11+J78*'Menu Productos'!$F$12)</f>
        <v>0</v>
      </c>
      <c r="M78" s="28">
        <f>IF(A78="","",C78*'Menu Productos'!$E$5+D78*'Menu Productos'!$E$6+E78*'Menu Productos'!$E$7+F78*'Menu Productos'!$E$8+G78*'Menu Productos'!$E$9+H78*'Menu Productos'!$E$10+I78*'Menu Productos'!$E$11+J78*'Menu Productos'!$E$12)</f>
        <v>0</v>
      </c>
      <c r="N78" s="29"/>
      <c r="O78" s="28">
        <f t="shared" si="7"/>
        <v>0</v>
      </c>
      <c r="P78" s="29"/>
      <c r="Q78" s="29"/>
      <c r="R78" s="29"/>
      <c r="S78" s="28">
        <f t="shared" si="8"/>
        <v>0</v>
      </c>
      <c r="T78" s="28">
        <f t="shared" si="9"/>
        <v>0</v>
      </c>
      <c r="U78" s="12"/>
      <c r="V78" s="12" t="str">
        <f ca="1">IF(A78&gt;TODAY(),"FUTURO",IF(AND(K78=0,N78=0,S78=0),"SIN MOVIMIENTO",IF(ABS(T78)&lt;='Metas y Control'!$B$6,"OK","REVISAR CAJA")))</f>
        <v>SIN MOVIMIENTO</v>
      </c>
    </row>
    <row r="79" spans="1:22" x14ac:dyDescent="0.3">
      <c r="A79" s="25">
        <f>IF(YEAR(A78+1)=Dashboard!$B$2,A78+1,"")</f>
        <v>46097</v>
      </c>
      <c r="B79" s="26" t="str">
        <f t="shared" si="5"/>
        <v>marzo</v>
      </c>
      <c r="C79" s="24"/>
      <c r="D79" s="24"/>
      <c r="E79" s="24"/>
      <c r="F79" s="24"/>
      <c r="G79" s="24"/>
      <c r="H79" s="24"/>
      <c r="I79" s="24"/>
      <c r="J79" s="24"/>
      <c r="K79" s="27">
        <f t="shared" si="6"/>
        <v>0</v>
      </c>
      <c r="L79" s="28">
        <f>IF(A79="","",C79*'Menu Productos'!$F$5+D79*'Menu Productos'!$F$6+E79*'Menu Productos'!$F$7+F79*'Menu Productos'!$F$8+G79*'Menu Productos'!$F$9+H79*'Menu Productos'!$F$10+I79*'Menu Productos'!$F$11+J79*'Menu Productos'!$F$12)</f>
        <v>0</v>
      </c>
      <c r="M79" s="28">
        <f>IF(A79="","",C79*'Menu Productos'!$E$5+D79*'Menu Productos'!$E$6+E79*'Menu Productos'!$E$7+F79*'Menu Productos'!$E$8+G79*'Menu Productos'!$E$9+H79*'Menu Productos'!$E$10+I79*'Menu Productos'!$E$11+J79*'Menu Productos'!$E$12)</f>
        <v>0</v>
      </c>
      <c r="N79" s="29"/>
      <c r="O79" s="28">
        <f t="shared" si="7"/>
        <v>0</v>
      </c>
      <c r="P79" s="29"/>
      <c r="Q79" s="29"/>
      <c r="R79" s="29"/>
      <c r="S79" s="28">
        <f t="shared" si="8"/>
        <v>0</v>
      </c>
      <c r="T79" s="28">
        <f t="shared" si="9"/>
        <v>0</v>
      </c>
      <c r="U79" s="12"/>
      <c r="V79" s="12" t="str">
        <f ca="1">IF(A79&gt;TODAY(),"FUTURO",IF(AND(K79=0,N79=0,S79=0),"SIN MOVIMIENTO",IF(ABS(T79)&lt;='Metas y Control'!$B$6,"OK","REVISAR CAJA")))</f>
        <v>SIN MOVIMIENTO</v>
      </c>
    </row>
    <row r="80" spans="1:22" x14ac:dyDescent="0.3">
      <c r="A80" s="25">
        <f>IF(YEAR(A79+1)=Dashboard!$B$2,A79+1,"")</f>
        <v>46098</v>
      </c>
      <c r="B80" s="26" t="str">
        <f t="shared" si="5"/>
        <v>marzo</v>
      </c>
      <c r="C80" s="24"/>
      <c r="D80" s="24"/>
      <c r="E80" s="24"/>
      <c r="F80" s="24"/>
      <c r="G80" s="24"/>
      <c r="H80" s="24"/>
      <c r="I80" s="24"/>
      <c r="J80" s="24"/>
      <c r="K80" s="27">
        <f t="shared" si="6"/>
        <v>0</v>
      </c>
      <c r="L80" s="28">
        <f>IF(A80="","",C80*'Menu Productos'!$F$5+D80*'Menu Productos'!$F$6+E80*'Menu Productos'!$F$7+F80*'Menu Productos'!$F$8+G80*'Menu Productos'!$F$9+H80*'Menu Productos'!$F$10+I80*'Menu Productos'!$F$11+J80*'Menu Productos'!$F$12)</f>
        <v>0</v>
      </c>
      <c r="M80" s="28">
        <f>IF(A80="","",C80*'Menu Productos'!$E$5+D80*'Menu Productos'!$E$6+E80*'Menu Productos'!$E$7+F80*'Menu Productos'!$E$8+G80*'Menu Productos'!$E$9+H80*'Menu Productos'!$E$10+I80*'Menu Productos'!$E$11+J80*'Menu Productos'!$E$12)</f>
        <v>0</v>
      </c>
      <c r="N80" s="29"/>
      <c r="O80" s="28">
        <f t="shared" si="7"/>
        <v>0</v>
      </c>
      <c r="P80" s="29"/>
      <c r="Q80" s="29"/>
      <c r="R80" s="29"/>
      <c r="S80" s="28">
        <f t="shared" si="8"/>
        <v>0</v>
      </c>
      <c r="T80" s="28">
        <f t="shared" si="9"/>
        <v>0</v>
      </c>
      <c r="U80" s="12"/>
      <c r="V80" s="12" t="str">
        <f ca="1">IF(A80&gt;TODAY(),"FUTURO",IF(AND(K80=0,N80=0,S80=0),"SIN MOVIMIENTO",IF(ABS(T80)&lt;='Metas y Control'!$B$6,"OK","REVISAR CAJA")))</f>
        <v>SIN MOVIMIENTO</v>
      </c>
    </row>
    <row r="81" spans="1:22" x14ac:dyDescent="0.3">
      <c r="A81" s="25">
        <f>IF(YEAR(A80+1)=Dashboard!$B$2,A80+1,"")</f>
        <v>46099</v>
      </c>
      <c r="B81" s="26" t="str">
        <f t="shared" si="5"/>
        <v>marzo</v>
      </c>
      <c r="C81" s="24"/>
      <c r="D81" s="24"/>
      <c r="E81" s="24"/>
      <c r="F81" s="24"/>
      <c r="G81" s="24"/>
      <c r="H81" s="24"/>
      <c r="I81" s="24"/>
      <c r="J81" s="24"/>
      <c r="K81" s="27">
        <f t="shared" si="6"/>
        <v>0</v>
      </c>
      <c r="L81" s="28">
        <f>IF(A81="","",C81*'Menu Productos'!$F$5+D81*'Menu Productos'!$F$6+E81*'Menu Productos'!$F$7+F81*'Menu Productos'!$F$8+G81*'Menu Productos'!$F$9+H81*'Menu Productos'!$F$10+I81*'Menu Productos'!$F$11+J81*'Menu Productos'!$F$12)</f>
        <v>0</v>
      </c>
      <c r="M81" s="28">
        <f>IF(A81="","",C81*'Menu Productos'!$E$5+D81*'Menu Productos'!$E$6+E81*'Menu Productos'!$E$7+F81*'Menu Productos'!$E$8+G81*'Menu Productos'!$E$9+H81*'Menu Productos'!$E$10+I81*'Menu Productos'!$E$11+J81*'Menu Productos'!$E$12)</f>
        <v>0</v>
      </c>
      <c r="N81" s="29"/>
      <c r="O81" s="28">
        <f t="shared" si="7"/>
        <v>0</v>
      </c>
      <c r="P81" s="29"/>
      <c r="Q81" s="29"/>
      <c r="R81" s="29"/>
      <c r="S81" s="28">
        <f t="shared" si="8"/>
        <v>0</v>
      </c>
      <c r="T81" s="28">
        <f t="shared" si="9"/>
        <v>0</v>
      </c>
      <c r="U81" s="12"/>
      <c r="V81" s="12" t="str">
        <f ca="1">IF(A81&gt;TODAY(),"FUTURO",IF(AND(K81=0,N81=0,S81=0),"SIN MOVIMIENTO",IF(ABS(T81)&lt;='Metas y Control'!$B$6,"OK","REVISAR CAJA")))</f>
        <v>SIN MOVIMIENTO</v>
      </c>
    </row>
    <row r="82" spans="1:22" x14ac:dyDescent="0.3">
      <c r="A82" s="25">
        <f>IF(YEAR(A81+1)=Dashboard!$B$2,A81+1,"")</f>
        <v>46100</v>
      </c>
      <c r="B82" s="26" t="str">
        <f t="shared" si="5"/>
        <v>marzo</v>
      </c>
      <c r="C82" s="24"/>
      <c r="D82" s="24"/>
      <c r="E82" s="24"/>
      <c r="F82" s="24"/>
      <c r="G82" s="24"/>
      <c r="H82" s="24"/>
      <c r="I82" s="24"/>
      <c r="J82" s="24"/>
      <c r="K82" s="27">
        <f t="shared" si="6"/>
        <v>0</v>
      </c>
      <c r="L82" s="28">
        <f>IF(A82="","",C82*'Menu Productos'!$F$5+D82*'Menu Productos'!$F$6+E82*'Menu Productos'!$F$7+F82*'Menu Productos'!$F$8+G82*'Menu Productos'!$F$9+H82*'Menu Productos'!$F$10+I82*'Menu Productos'!$F$11+J82*'Menu Productos'!$F$12)</f>
        <v>0</v>
      </c>
      <c r="M82" s="28">
        <f>IF(A82="","",C82*'Menu Productos'!$E$5+D82*'Menu Productos'!$E$6+E82*'Menu Productos'!$E$7+F82*'Menu Productos'!$E$8+G82*'Menu Productos'!$E$9+H82*'Menu Productos'!$E$10+I82*'Menu Productos'!$E$11+J82*'Menu Productos'!$E$12)</f>
        <v>0</v>
      </c>
      <c r="N82" s="29"/>
      <c r="O82" s="28">
        <f t="shared" si="7"/>
        <v>0</v>
      </c>
      <c r="P82" s="29"/>
      <c r="Q82" s="29"/>
      <c r="R82" s="29"/>
      <c r="S82" s="28">
        <f t="shared" si="8"/>
        <v>0</v>
      </c>
      <c r="T82" s="28">
        <f t="shared" si="9"/>
        <v>0</v>
      </c>
      <c r="U82" s="12"/>
      <c r="V82" s="12" t="str">
        <f ca="1">IF(A82&gt;TODAY(),"FUTURO",IF(AND(K82=0,N82=0,S82=0),"SIN MOVIMIENTO",IF(ABS(T82)&lt;='Metas y Control'!$B$6,"OK","REVISAR CAJA")))</f>
        <v>SIN MOVIMIENTO</v>
      </c>
    </row>
    <row r="83" spans="1:22" x14ac:dyDescent="0.3">
      <c r="A83" s="25">
        <f>IF(YEAR(A82+1)=Dashboard!$B$2,A82+1,"")</f>
        <v>46101</v>
      </c>
      <c r="B83" s="26" t="str">
        <f t="shared" si="5"/>
        <v>marzo</v>
      </c>
      <c r="C83" s="24"/>
      <c r="D83" s="24"/>
      <c r="E83" s="24"/>
      <c r="F83" s="24"/>
      <c r="G83" s="24"/>
      <c r="H83" s="24"/>
      <c r="I83" s="24"/>
      <c r="J83" s="24"/>
      <c r="K83" s="27">
        <f t="shared" si="6"/>
        <v>0</v>
      </c>
      <c r="L83" s="28">
        <f>IF(A83="","",C83*'Menu Productos'!$F$5+D83*'Menu Productos'!$F$6+E83*'Menu Productos'!$F$7+F83*'Menu Productos'!$F$8+G83*'Menu Productos'!$F$9+H83*'Menu Productos'!$F$10+I83*'Menu Productos'!$F$11+J83*'Menu Productos'!$F$12)</f>
        <v>0</v>
      </c>
      <c r="M83" s="28">
        <f>IF(A83="","",C83*'Menu Productos'!$E$5+D83*'Menu Productos'!$E$6+E83*'Menu Productos'!$E$7+F83*'Menu Productos'!$E$8+G83*'Menu Productos'!$E$9+H83*'Menu Productos'!$E$10+I83*'Menu Productos'!$E$11+J83*'Menu Productos'!$E$12)</f>
        <v>0</v>
      </c>
      <c r="N83" s="29"/>
      <c r="O83" s="28">
        <f t="shared" si="7"/>
        <v>0</v>
      </c>
      <c r="P83" s="29"/>
      <c r="Q83" s="29"/>
      <c r="R83" s="29"/>
      <c r="S83" s="28">
        <f t="shared" si="8"/>
        <v>0</v>
      </c>
      <c r="T83" s="28">
        <f t="shared" si="9"/>
        <v>0</v>
      </c>
      <c r="U83" s="12"/>
      <c r="V83" s="12" t="str">
        <f ca="1">IF(A83&gt;TODAY(),"FUTURO",IF(AND(K83=0,N83=0,S83=0),"SIN MOVIMIENTO",IF(ABS(T83)&lt;='Metas y Control'!$B$6,"OK","REVISAR CAJA")))</f>
        <v>SIN MOVIMIENTO</v>
      </c>
    </row>
    <row r="84" spans="1:22" x14ac:dyDescent="0.3">
      <c r="A84" s="25">
        <f>IF(YEAR(A83+1)=Dashboard!$B$2,A83+1,"")</f>
        <v>46102</v>
      </c>
      <c r="B84" s="26" t="str">
        <f t="shared" si="5"/>
        <v>marzo</v>
      </c>
      <c r="C84" s="24"/>
      <c r="D84" s="24"/>
      <c r="E84" s="24"/>
      <c r="F84" s="24"/>
      <c r="G84" s="24"/>
      <c r="H84" s="24"/>
      <c r="I84" s="24"/>
      <c r="J84" s="24"/>
      <c r="K84" s="27">
        <f t="shared" si="6"/>
        <v>0</v>
      </c>
      <c r="L84" s="28">
        <f>IF(A84="","",C84*'Menu Productos'!$F$5+D84*'Menu Productos'!$F$6+E84*'Menu Productos'!$F$7+F84*'Menu Productos'!$F$8+G84*'Menu Productos'!$F$9+H84*'Menu Productos'!$F$10+I84*'Menu Productos'!$F$11+J84*'Menu Productos'!$F$12)</f>
        <v>0</v>
      </c>
      <c r="M84" s="28">
        <f>IF(A84="","",C84*'Menu Productos'!$E$5+D84*'Menu Productos'!$E$6+E84*'Menu Productos'!$E$7+F84*'Menu Productos'!$E$8+G84*'Menu Productos'!$E$9+H84*'Menu Productos'!$E$10+I84*'Menu Productos'!$E$11+J84*'Menu Productos'!$E$12)</f>
        <v>0</v>
      </c>
      <c r="N84" s="29"/>
      <c r="O84" s="28">
        <f t="shared" si="7"/>
        <v>0</v>
      </c>
      <c r="P84" s="29"/>
      <c r="Q84" s="29"/>
      <c r="R84" s="29"/>
      <c r="S84" s="28">
        <f t="shared" si="8"/>
        <v>0</v>
      </c>
      <c r="T84" s="28">
        <f t="shared" si="9"/>
        <v>0</v>
      </c>
      <c r="U84" s="12"/>
      <c r="V84" s="12" t="str">
        <f ca="1">IF(A84&gt;TODAY(),"FUTURO",IF(AND(K84=0,N84=0,S84=0),"SIN MOVIMIENTO",IF(ABS(T84)&lt;='Metas y Control'!$B$6,"OK","REVISAR CAJA")))</f>
        <v>SIN MOVIMIENTO</v>
      </c>
    </row>
    <row r="85" spans="1:22" x14ac:dyDescent="0.3">
      <c r="A85" s="25">
        <f>IF(YEAR(A84+1)=Dashboard!$B$2,A84+1,"")</f>
        <v>46103</v>
      </c>
      <c r="B85" s="26" t="str">
        <f t="shared" si="5"/>
        <v>marzo</v>
      </c>
      <c r="C85" s="24"/>
      <c r="D85" s="24"/>
      <c r="E85" s="24"/>
      <c r="F85" s="24"/>
      <c r="G85" s="24"/>
      <c r="H85" s="24"/>
      <c r="I85" s="24"/>
      <c r="J85" s="24"/>
      <c r="K85" s="27">
        <f t="shared" si="6"/>
        <v>0</v>
      </c>
      <c r="L85" s="28">
        <f>IF(A85="","",C85*'Menu Productos'!$F$5+D85*'Menu Productos'!$F$6+E85*'Menu Productos'!$F$7+F85*'Menu Productos'!$F$8+G85*'Menu Productos'!$F$9+H85*'Menu Productos'!$F$10+I85*'Menu Productos'!$F$11+J85*'Menu Productos'!$F$12)</f>
        <v>0</v>
      </c>
      <c r="M85" s="28">
        <f>IF(A85="","",C85*'Menu Productos'!$E$5+D85*'Menu Productos'!$E$6+E85*'Menu Productos'!$E$7+F85*'Menu Productos'!$E$8+G85*'Menu Productos'!$E$9+H85*'Menu Productos'!$E$10+I85*'Menu Productos'!$E$11+J85*'Menu Productos'!$E$12)</f>
        <v>0</v>
      </c>
      <c r="N85" s="29"/>
      <c r="O85" s="28">
        <f t="shared" si="7"/>
        <v>0</v>
      </c>
      <c r="P85" s="29"/>
      <c r="Q85" s="29"/>
      <c r="R85" s="29"/>
      <c r="S85" s="28">
        <f t="shared" si="8"/>
        <v>0</v>
      </c>
      <c r="T85" s="28">
        <f t="shared" si="9"/>
        <v>0</v>
      </c>
      <c r="U85" s="12"/>
      <c r="V85" s="12" t="str">
        <f ca="1">IF(A85&gt;TODAY(),"FUTURO",IF(AND(K85=0,N85=0,S85=0),"SIN MOVIMIENTO",IF(ABS(T85)&lt;='Metas y Control'!$B$6,"OK","REVISAR CAJA")))</f>
        <v>SIN MOVIMIENTO</v>
      </c>
    </row>
    <row r="86" spans="1:22" x14ac:dyDescent="0.3">
      <c r="A86" s="25">
        <f>IF(YEAR(A85+1)=Dashboard!$B$2,A85+1,"")</f>
        <v>46104</v>
      </c>
      <c r="B86" s="26" t="str">
        <f t="shared" si="5"/>
        <v>marzo</v>
      </c>
      <c r="C86" s="24"/>
      <c r="D86" s="24"/>
      <c r="E86" s="24"/>
      <c r="F86" s="24"/>
      <c r="G86" s="24"/>
      <c r="H86" s="24"/>
      <c r="I86" s="24"/>
      <c r="J86" s="24"/>
      <c r="K86" s="27">
        <f t="shared" si="6"/>
        <v>0</v>
      </c>
      <c r="L86" s="28">
        <f>IF(A86="","",C86*'Menu Productos'!$F$5+D86*'Menu Productos'!$F$6+E86*'Menu Productos'!$F$7+F86*'Menu Productos'!$F$8+G86*'Menu Productos'!$F$9+H86*'Menu Productos'!$F$10+I86*'Menu Productos'!$F$11+J86*'Menu Productos'!$F$12)</f>
        <v>0</v>
      </c>
      <c r="M86" s="28">
        <f>IF(A86="","",C86*'Menu Productos'!$E$5+D86*'Menu Productos'!$E$6+E86*'Menu Productos'!$E$7+F86*'Menu Productos'!$E$8+G86*'Menu Productos'!$E$9+H86*'Menu Productos'!$E$10+I86*'Menu Productos'!$E$11+J86*'Menu Productos'!$E$12)</f>
        <v>0</v>
      </c>
      <c r="N86" s="29"/>
      <c r="O86" s="28">
        <f t="shared" si="7"/>
        <v>0</v>
      </c>
      <c r="P86" s="29"/>
      <c r="Q86" s="29"/>
      <c r="R86" s="29"/>
      <c r="S86" s="28">
        <f t="shared" si="8"/>
        <v>0</v>
      </c>
      <c r="T86" s="28">
        <f t="shared" si="9"/>
        <v>0</v>
      </c>
      <c r="U86" s="12"/>
      <c r="V86" s="12" t="str">
        <f ca="1">IF(A86&gt;TODAY(),"FUTURO",IF(AND(K86=0,N86=0,S86=0),"SIN MOVIMIENTO",IF(ABS(T86)&lt;='Metas y Control'!$B$6,"OK","REVISAR CAJA")))</f>
        <v>SIN MOVIMIENTO</v>
      </c>
    </row>
    <row r="87" spans="1:22" x14ac:dyDescent="0.3">
      <c r="A87" s="25">
        <f>IF(YEAR(A86+1)=Dashboard!$B$2,A86+1,"")</f>
        <v>46105</v>
      </c>
      <c r="B87" s="26" t="str">
        <f t="shared" si="5"/>
        <v>marzo</v>
      </c>
      <c r="C87" s="24"/>
      <c r="D87" s="24"/>
      <c r="E87" s="24"/>
      <c r="F87" s="24"/>
      <c r="G87" s="24"/>
      <c r="H87" s="24"/>
      <c r="I87" s="24"/>
      <c r="J87" s="24"/>
      <c r="K87" s="27">
        <f t="shared" si="6"/>
        <v>0</v>
      </c>
      <c r="L87" s="28">
        <f>IF(A87="","",C87*'Menu Productos'!$F$5+D87*'Menu Productos'!$F$6+E87*'Menu Productos'!$F$7+F87*'Menu Productos'!$F$8+G87*'Menu Productos'!$F$9+H87*'Menu Productos'!$F$10+I87*'Menu Productos'!$F$11+J87*'Menu Productos'!$F$12)</f>
        <v>0</v>
      </c>
      <c r="M87" s="28">
        <f>IF(A87="","",C87*'Menu Productos'!$E$5+D87*'Menu Productos'!$E$6+E87*'Menu Productos'!$E$7+F87*'Menu Productos'!$E$8+G87*'Menu Productos'!$E$9+H87*'Menu Productos'!$E$10+I87*'Menu Productos'!$E$11+J87*'Menu Productos'!$E$12)</f>
        <v>0</v>
      </c>
      <c r="N87" s="29"/>
      <c r="O87" s="28">
        <f t="shared" si="7"/>
        <v>0</v>
      </c>
      <c r="P87" s="29"/>
      <c r="Q87" s="29"/>
      <c r="R87" s="29"/>
      <c r="S87" s="28">
        <f t="shared" si="8"/>
        <v>0</v>
      </c>
      <c r="T87" s="28">
        <f t="shared" si="9"/>
        <v>0</v>
      </c>
      <c r="U87" s="12"/>
      <c r="V87" s="12" t="str">
        <f ca="1">IF(A87&gt;TODAY(),"FUTURO",IF(AND(K87=0,N87=0,S87=0),"SIN MOVIMIENTO",IF(ABS(T87)&lt;='Metas y Control'!$B$6,"OK","REVISAR CAJA")))</f>
        <v>SIN MOVIMIENTO</v>
      </c>
    </row>
    <row r="88" spans="1:22" x14ac:dyDescent="0.3">
      <c r="A88" s="25">
        <f>IF(YEAR(A87+1)=Dashboard!$B$2,A87+1,"")</f>
        <v>46106</v>
      </c>
      <c r="B88" s="26" t="str">
        <f t="shared" si="5"/>
        <v>marzo</v>
      </c>
      <c r="C88" s="24"/>
      <c r="D88" s="24"/>
      <c r="E88" s="24"/>
      <c r="F88" s="24"/>
      <c r="G88" s="24"/>
      <c r="H88" s="24"/>
      <c r="I88" s="24"/>
      <c r="J88" s="24"/>
      <c r="K88" s="27">
        <f t="shared" si="6"/>
        <v>0</v>
      </c>
      <c r="L88" s="28">
        <f>IF(A88="","",C88*'Menu Productos'!$F$5+D88*'Menu Productos'!$F$6+E88*'Menu Productos'!$F$7+F88*'Menu Productos'!$F$8+G88*'Menu Productos'!$F$9+H88*'Menu Productos'!$F$10+I88*'Menu Productos'!$F$11+J88*'Menu Productos'!$F$12)</f>
        <v>0</v>
      </c>
      <c r="M88" s="28">
        <f>IF(A88="","",C88*'Menu Productos'!$E$5+D88*'Menu Productos'!$E$6+E88*'Menu Productos'!$E$7+F88*'Menu Productos'!$E$8+G88*'Menu Productos'!$E$9+H88*'Menu Productos'!$E$10+I88*'Menu Productos'!$E$11+J88*'Menu Productos'!$E$12)</f>
        <v>0</v>
      </c>
      <c r="N88" s="29"/>
      <c r="O88" s="28">
        <f t="shared" si="7"/>
        <v>0</v>
      </c>
      <c r="P88" s="29"/>
      <c r="Q88" s="29"/>
      <c r="R88" s="29"/>
      <c r="S88" s="28">
        <f t="shared" si="8"/>
        <v>0</v>
      </c>
      <c r="T88" s="28">
        <f t="shared" si="9"/>
        <v>0</v>
      </c>
      <c r="U88" s="12"/>
      <c r="V88" s="12" t="str">
        <f ca="1">IF(A88&gt;TODAY(),"FUTURO",IF(AND(K88=0,N88=0,S88=0),"SIN MOVIMIENTO",IF(ABS(T88)&lt;='Metas y Control'!$B$6,"OK","REVISAR CAJA")))</f>
        <v>SIN MOVIMIENTO</v>
      </c>
    </row>
    <row r="89" spans="1:22" x14ac:dyDescent="0.3">
      <c r="A89" s="25">
        <f>IF(YEAR(A88+1)=Dashboard!$B$2,A88+1,"")</f>
        <v>46107</v>
      </c>
      <c r="B89" s="26" t="str">
        <f t="shared" si="5"/>
        <v>marzo</v>
      </c>
      <c r="C89" s="24"/>
      <c r="D89" s="24"/>
      <c r="E89" s="24"/>
      <c r="F89" s="24"/>
      <c r="G89" s="24"/>
      <c r="H89" s="24"/>
      <c r="I89" s="24"/>
      <c r="J89" s="24"/>
      <c r="K89" s="27">
        <f t="shared" si="6"/>
        <v>0</v>
      </c>
      <c r="L89" s="28">
        <f>IF(A89="","",C89*'Menu Productos'!$F$5+D89*'Menu Productos'!$F$6+E89*'Menu Productos'!$F$7+F89*'Menu Productos'!$F$8+G89*'Menu Productos'!$F$9+H89*'Menu Productos'!$F$10+I89*'Menu Productos'!$F$11+J89*'Menu Productos'!$F$12)</f>
        <v>0</v>
      </c>
      <c r="M89" s="28">
        <f>IF(A89="","",C89*'Menu Productos'!$E$5+D89*'Menu Productos'!$E$6+E89*'Menu Productos'!$E$7+F89*'Menu Productos'!$E$8+G89*'Menu Productos'!$E$9+H89*'Menu Productos'!$E$10+I89*'Menu Productos'!$E$11+J89*'Menu Productos'!$E$12)</f>
        <v>0</v>
      </c>
      <c r="N89" s="29"/>
      <c r="O89" s="28">
        <f t="shared" si="7"/>
        <v>0</v>
      </c>
      <c r="P89" s="29"/>
      <c r="Q89" s="29"/>
      <c r="R89" s="29"/>
      <c r="S89" s="28">
        <f t="shared" si="8"/>
        <v>0</v>
      </c>
      <c r="T89" s="28">
        <f t="shared" si="9"/>
        <v>0</v>
      </c>
      <c r="U89" s="12"/>
      <c r="V89" s="12" t="str">
        <f ca="1">IF(A89&gt;TODAY(),"FUTURO",IF(AND(K89=0,N89=0,S89=0),"SIN MOVIMIENTO",IF(ABS(T89)&lt;='Metas y Control'!$B$6,"OK","REVISAR CAJA")))</f>
        <v>SIN MOVIMIENTO</v>
      </c>
    </row>
    <row r="90" spans="1:22" x14ac:dyDescent="0.3">
      <c r="A90" s="25">
        <f>IF(YEAR(A89+1)=Dashboard!$B$2,A89+1,"")</f>
        <v>46108</v>
      </c>
      <c r="B90" s="26" t="str">
        <f t="shared" si="5"/>
        <v>marzo</v>
      </c>
      <c r="C90" s="24"/>
      <c r="D90" s="24"/>
      <c r="E90" s="24"/>
      <c r="F90" s="24"/>
      <c r="G90" s="24"/>
      <c r="H90" s="24"/>
      <c r="I90" s="24"/>
      <c r="J90" s="24"/>
      <c r="K90" s="27">
        <f t="shared" si="6"/>
        <v>0</v>
      </c>
      <c r="L90" s="28">
        <f>IF(A90="","",C90*'Menu Productos'!$F$5+D90*'Menu Productos'!$F$6+E90*'Menu Productos'!$F$7+F90*'Menu Productos'!$F$8+G90*'Menu Productos'!$F$9+H90*'Menu Productos'!$F$10+I90*'Menu Productos'!$F$11+J90*'Menu Productos'!$F$12)</f>
        <v>0</v>
      </c>
      <c r="M90" s="28">
        <f>IF(A90="","",C90*'Menu Productos'!$E$5+D90*'Menu Productos'!$E$6+E90*'Menu Productos'!$E$7+F90*'Menu Productos'!$E$8+G90*'Menu Productos'!$E$9+H90*'Menu Productos'!$E$10+I90*'Menu Productos'!$E$11+J90*'Menu Productos'!$E$12)</f>
        <v>0</v>
      </c>
      <c r="N90" s="29"/>
      <c r="O90" s="28">
        <f t="shared" si="7"/>
        <v>0</v>
      </c>
      <c r="P90" s="29"/>
      <c r="Q90" s="29"/>
      <c r="R90" s="29"/>
      <c r="S90" s="28">
        <f t="shared" si="8"/>
        <v>0</v>
      </c>
      <c r="T90" s="28">
        <f t="shared" si="9"/>
        <v>0</v>
      </c>
      <c r="U90" s="12"/>
      <c r="V90" s="12" t="str">
        <f ca="1">IF(A90&gt;TODAY(),"FUTURO",IF(AND(K90=0,N90=0,S90=0),"SIN MOVIMIENTO",IF(ABS(T90)&lt;='Metas y Control'!$B$6,"OK","REVISAR CAJA")))</f>
        <v>SIN MOVIMIENTO</v>
      </c>
    </row>
    <row r="91" spans="1:22" x14ac:dyDescent="0.3">
      <c r="A91" s="25">
        <f>IF(YEAR(A90+1)=Dashboard!$B$2,A90+1,"")</f>
        <v>46109</v>
      </c>
      <c r="B91" s="26" t="str">
        <f t="shared" si="5"/>
        <v>marzo</v>
      </c>
      <c r="C91" s="24"/>
      <c r="D91" s="24"/>
      <c r="E91" s="24"/>
      <c r="F91" s="24"/>
      <c r="G91" s="24"/>
      <c r="H91" s="24"/>
      <c r="I91" s="24"/>
      <c r="J91" s="24"/>
      <c r="K91" s="27">
        <f t="shared" si="6"/>
        <v>0</v>
      </c>
      <c r="L91" s="28">
        <f>IF(A91="","",C91*'Menu Productos'!$F$5+D91*'Menu Productos'!$F$6+E91*'Menu Productos'!$F$7+F91*'Menu Productos'!$F$8+G91*'Menu Productos'!$F$9+H91*'Menu Productos'!$F$10+I91*'Menu Productos'!$F$11+J91*'Menu Productos'!$F$12)</f>
        <v>0</v>
      </c>
      <c r="M91" s="28">
        <f>IF(A91="","",C91*'Menu Productos'!$E$5+D91*'Menu Productos'!$E$6+E91*'Menu Productos'!$E$7+F91*'Menu Productos'!$E$8+G91*'Menu Productos'!$E$9+H91*'Menu Productos'!$E$10+I91*'Menu Productos'!$E$11+J91*'Menu Productos'!$E$12)</f>
        <v>0</v>
      </c>
      <c r="N91" s="29"/>
      <c r="O91" s="28">
        <f t="shared" si="7"/>
        <v>0</v>
      </c>
      <c r="P91" s="29"/>
      <c r="Q91" s="29"/>
      <c r="R91" s="29"/>
      <c r="S91" s="28">
        <f t="shared" si="8"/>
        <v>0</v>
      </c>
      <c r="T91" s="28">
        <f t="shared" si="9"/>
        <v>0</v>
      </c>
      <c r="U91" s="12"/>
      <c r="V91" s="12" t="str">
        <f ca="1">IF(A91&gt;TODAY(),"FUTURO",IF(AND(K91=0,N91=0,S91=0),"SIN MOVIMIENTO",IF(ABS(T91)&lt;='Metas y Control'!$B$6,"OK","REVISAR CAJA")))</f>
        <v>SIN MOVIMIENTO</v>
      </c>
    </row>
    <row r="92" spans="1:22" x14ac:dyDescent="0.3">
      <c r="A92" s="25">
        <f>IF(YEAR(A91+1)=Dashboard!$B$2,A91+1,"")</f>
        <v>46110</v>
      </c>
      <c r="B92" s="26" t="str">
        <f t="shared" si="5"/>
        <v>marzo</v>
      </c>
      <c r="C92" s="24"/>
      <c r="D92" s="24"/>
      <c r="E92" s="24"/>
      <c r="F92" s="24"/>
      <c r="G92" s="24"/>
      <c r="H92" s="24"/>
      <c r="I92" s="24"/>
      <c r="J92" s="24"/>
      <c r="K92" s="27">
        <f t="shared" si="6"/>
        <v>0</v>
      </c>
      <c r="L92" s="28">
        <f>IF(A92="","",C92*'Menu Productos'!$F$5+D92*'Menu Productos'!$F$6+E92*'Menu Productos'!$F$7+F92*'Menu Productos'!$F$8+G92*'Menu Productos'!$F$9+H92*'Menu Productos'!$F$10+I92*'Menu Productos'!$F$11+J92*'Menu Productos'!$F$12)</f>
        <v>0</v>
      </c>
      <c r="M92" s="28">
        <f>IF(A92="","",C92*'Menu Productos'!$E$5+D92*'Menu Productos'!$E$6+E92*'Menu Productos'!$E$7+F92*'Menu Productos'!$E$8+G92*'Menu Productos'!$E$9+H92*'Menu Productos'!$E$10+I92*'Menu Productos'!$E$11+J92*'Menu Productos'!$E$12)</f>
        <v>0</v>
      </c>
      <c r="N92" s="29"/>
      <c r="O92" s="28">
        <f t="shared" si="7"/>
        <v>0</v>
      </c>
      <c r="P92" s="29"/>
      <c r="Q92" s="29"/>
      <c r="R92" s="29"/>
      <c r="S92" s="28">
        <f t="shared" si="8"/>
        <v>0</v>
      </c>
      <c r="T92" s="28">
        <f t="shared" si="9"/>
        <v>0</v>
      </c>
      <c r="U92" s="12"/>
      <c r="V92" s="12" t="str">
        <f ca="1">IF(A92&gt;TODAY(),"FUTURO",IF(AND(K92=0,N92=0,S92=0),"SIN MOVIMIENTO",IF(ABS(T92)&lt;='Metas y Control'!$B$6,"OK","REVISAR CAJA")))</f>
        <v>SIN MOVIMIENTO</v>
      </c>
    </row>
    <row r="93" spans="1:22" x14ac:dyDescent="0.3">
      <c r="A93" s="25">
        <f>IF(YEAR(A92+1)=Dashboard!$B$2,A92+1,"")</f>
        <v>46111</v>
      </c>
      <c r="B93" s="26" t="str">
        <f t="shared" si="5"/>
        <v>marzo</v>
      </c>
      <c r="C93" s="24"/>
      <c r="D93" s="24"/>
      <c r="E93" s="24"/>
      <c r="F93" s="24"/>
      <c r="G93" s="24"/>
      <c r="H93" s="24"/>
      <c r="I93" s="24"/>
      <c r="J93" s="24"/>
      <c r="K93" s="27">
        <f t="shared" si="6"/>
        <v>0</v>
      </c>
      <c r="L93" s="28">
        <f>IF(A93="","",C93*'Menu Productos'!$F$5+D93*'Menu Productos'!$F$6+E93*'Menu Productos'!$F$7+F93*'Menu Productos'!$F$8+G93*'Menu Productos'!$F$9+H93*'Menu Productos'!$F$10+I93*'Menu Productos'!$F$11+J93*'Menu Productos'!$F$12)</f>
        <v>0</v>
      </c>
      <c r="M93" s="28">
        <f>IF(A93="","",C93*'Menu Productos'!$E$5+D93*'Menu Productos'!$E$6+E93*'Menu Productos'!$E$7+F93*'Menu Productos'!$E$8+G93*'Menu Productos'!$E$9+H93*'Menu Productos'!$E$10+I93*'Menu Productos'!$E$11+J93*'Menu Productos'!$E$12)</f>
        <v>0</v>
      </c>
      <c r="N93" s="29"/>
      <c r="O93" s="28">
        <f t="shared" si="7"/>
        <v>0</v>
      </c>
      <c r="P93" s="29"/>
      <c r="Q93" s="29"/>
      <c r="R93" s="29"/>
      <c r="S93" s="28">
        <f t="shared" si="8"/>
        <v>0</v>
      </c>
      <c r="T93" s="28">
        <f t="shared" si="9"/>
        <v>0</v>
      </c>
      <c r="U93" s="12"/>
      <c r="V93" s="12" t="str">
        <f ca="1">IF(A93&gt;TODAY(),"FUTURO",IF(AND(K93=0,N93=0,S93=0),"SIN MOVIMIENTO",IF(ABS(T93)&lt;='Metas y Control'!$B$6,"OK","REVISAR CAJA")))</f>
        <v>SIN MOVIMIENTO</v>
      </c>
    </row>
    <row r="94" spans="1:22" x14ac:dyDescent="0.3">
      <c r="A94" s="25">
        <f>IF(YEAR(A93+1)=Dashboard!$B$2,A93+1,"")</f>
        <v>46112</v>
      </c>
      <c r="B94" s="26" t="str">
        <f t="shared" si="5"/>
        <v>marzo</v>
      </c>
      <c r="C94" s="24"/>
      <c r="D94" s="24"/>
      <c r="E94" s="24"/>
      <c r="F94" s="24"/>
      <c r="G94" s="24"/>
      <c r="H94" s="24"/>
      <c r="I94" s="24"/>
      <c r="J94" s="24"/>
      <c r="K94" s="27">
        <f t="shared" si="6"/>
        <v>0</v>
      </c>
      <c r="L94" s="28">
        <f>IF(A94="","",C94*'Menu Productos'!$F$5+D94*'Menu Productos'!$F$6+E94*'Menu Productos'!$F$7+F94*'Menu Productos'!$F$8+G94*'Menu Productos'!$F$9+H94*'Menu Productos'!$F$10+I94*'Menu Productos'!$F$11+J94*'Menu Productos'!$F$12)</f>
        <v>0</v>
      </c>
      <c r="M94" s="28">
        <f>IF(A94="","",C94*'Menu Productos'!$E$5+D94*'Menu Productos'!$E$6+E94*'Menu Productos'!$E$7+F94*'Menu Productos'!$E$8+G94*'Menu Productos'!$E$9+H94*'Menu Productos'!$E$10+I94*'Menu Productos'!$E$11+J94*'Menu Productos'!$E$12)</f>
        <v>0</v>
      </c>
      <c r="N94" s="29"/>
      <c r="O94" s="28">
        <f t="shared" si="7"/>
        <v>0</v>
      </c>
      <c r="P94" s="29"/>
      <c r="Q94" s="29"/>
      <c r="R94" s="29"/>
      <c r="S94" s="28">
        <f t="shared" si="8"/>
        <v>0</v>
      </c>
      <c r="T94" s="28">
        <f t="shared" si="9"/>
        <v>0</v>
      </c>
      <c r="U94" s="12"/>
      <c r="V94" s="12" t="str">
        <f ca="1">IF(A94&gt;TODAY(),"FUTURO",IF(AND(K94=0,N94=0,S94=0),"SIN MOVIMIENTO",IF(ABS(T94)&lt;='Metas y Control'!$B$6,"OK","REVISAR CAJA")))</f>
        <v>SIN MOVIMIENTO</v>
      </c>
    </row>
    <row r="95" spans="1:22" x14ac:dyDescent="0.3">
      <c r="A95" s="25">
        <f>IF(YEAR(A94+1)=Dashboard!$B$2,A94+1,"")</f>
        <v>46113</v>
      </c>
      <c r="B95" s="26" t="str">
        <f t="shared" si="5"/>
        <v>abril</v>
      </c>
      <c r="C95" s="24"/>
      <c r="D95" s="24"/>
      <c r="E95" s="24"/>
      <c r="F95" s="24"/>
      <c r="G95" s="24"/>
      <c r="H95" s="24"/>
      <c r="I95" s="24"/>
      <c r="J95" s="24"/>
      <c r="K95" s="27">
        <f t="shared" si="6"/>
        <v>0</v>
      </c>
      <c r="L95" s="28">
        <f>IF(A95="","",C95*'Menu Productos'!$F$5+D95*'Menu Productos'!$F$6+E95*'Menu Productos'!$F$7+F95*'Menu Productos'!$F$8+G95*'Menu Productos'!$F$9+H95*'Menu Productos'!$F$10+I95*'Menu Productos'!$F$11+J95*'Menu Productos'!$F$12)</f>
        <v>0</v>
      </c>
      <c r="M95" s="28">
        <f>IF(A95="","",C95*'Menu Productos'!$E$5+D95*'Menu Productos'!$E$6+E95*'Menu Productos'!$E$7+F95*'Menu Productos'!$E$8+G95*'Menu Productos'!$E$9+H95*'Menu Productos'!$E$10+I95*'Menu Productos'!$E$11+J95*'Menu Productos'!$E$12)</f>
        <v>0</v>
      </c>
      <c r="N95" s="29"/>
      <c r="O95" s="28">
        <f t="shared" si="7"/>
        <v>0</v>
      </c>
      <c r="P95" s="29"/>
      <c r="Q95" s="29"/>
      <c r="R95" s="29"/>
      <c r="S95" s="28">
        <f t="shared" si="8"/>
        <v>0</v>
      </c>
      <c r="T95" s="28">
        <f t="shared" si="9"/>
        <v>0</v>
      </c>
      <c r="U95" s="12"/>
      <c r="V95" s="12" t="str">
        <f ca="1">IF(A95&gt;TODAY(),"FUTURO",IF(AND(K95=0,N95=0,S95=0),"SIN MOVIMIENTO",IF(ABS(T95)&lt;='Metas y Control'!$B$6,"OK","REVISAR CAJA")))</f>
        <v>SIN MOVIMIENTO</v>
      </c>
    </row>
    <row r="96" spans="1:22" x14ac:dyDescent="0.3">
      <c r="A96" s="25">
        <f>IF(YEAR(A95+1)=Dashboard!$B$2,A95+1,"")</f>
        <v>46114</v>
      </c>
      <c r="B96" s="26" t="str">
        <f t="shared" si="5"/>
        <v>abril</v>
      </c>
      <c r="C96" s="24"/>
      <c r="D96" s="24"/>
      <c r="E96" s="24"/>
      <c r="F96" s="24"/>
      <c r="G96" s="24"/>
      <c r="H96" s="24"/>
      <c r="I96" s="24"/>
      <c r="J96" s="24"/>
      <c r="K96" s="27">
        <f t="shared" si="6"/>
        <v>0</v>
      </c>
      <c r="L96" s="28">
        <f>IF(A96="","",C96*'Menu Productos'!$F$5+D96*'Menu Productos'!$F$6+E96*'Menu Productos'!$F$7+F96*'Menu Productos'!$F$8+G96*'Menu Productos'!$F$9+H96*'Menu Productos'!$F$10+I96*'Menu Productos'!$F$11+J96*'Menu Productos'!$F$12)</f>
        <v>0</v>
      </c>
      <c r="M96" s="28">
        <f>IF(A96="","",C96*'Menu Productos'!$E$5+D96*'Menu Productos'!$E$6+E96*'Menu Productos'!$E$7+F96*'Menu Productos'!$E$8+G96*'Menu Productos'!$E$9+H96*'Menu Productos'!$E$10+I96*'Menu Productos'!$E$11+J96*'Menu Productos'!$E$12)</f>
        <v>0</v>
      </c>
      <c r="N96" s="29"/>
      <c r="O96" s="28">
        <f t="shared" si="7"/>
        <v>0</v>
      </c>
      <c r="P96" s="29"/>
      <c r="Q96" s="29"/>
      <c r="R96" s="29"/>
      <c r="S96" s="28">
        <f t="shared" si="8"/>
        <v>0</v>
      </c>
      <c r="T96" s="28">
        <f t="shared" si="9"/>
        <v>0</v>
      </c>
      <c r="U96" s="12"/>
      <c r="V96" s="12" t="str">
        <f ca="1">IF(A96&gt;TODAY(),"FUTURO",IF(AND(K96=0,N96=0,S96=0),"SIN MOVIMIENTO",IF(ABS(T96)&lt;='Metas y Control'!$B$6,"OK","REVISAR CAJA")))</f>
        <v>SIN MOVIMIENTO</v>
      </c>
    </row>
    <row r="97" spans="1:22" x14ac:dyDescent="0.3">
      <c r="A97" s="25">
        <f>IF(YEAR(A96+1)=Dashboard!$B$2,A96+1,"")</f>
        <v>46115</v>
      </c>
      <c r="B97" s="26" t="str">
        <f t="shared" si="5"/>
        <v>abril</v>
      </c>
      <c r="C97" s="24"/>
      <c r="D97" s="24"/>
      <c r="E97" s="24"/>
      <c r="F97" s="24"/>
      <c r="G97" s="24"/>
      <c r="H97" s="24"/>
      <c r="I97" s="24"/>
      <c r="J97" s="24"/>
      <c r="K97" s="27">
        <f t="shared" si="6"/>
        <v>0</v>
      </c>
      <c r="L97" s="28">
        <f>IF(A97="","",C97*'Menu Productos'!$F$5+D97*'Menu Productos'!$F$6+E97*'Menu Productos'!$F$7+F97*'Menu Productos'!$F$8+G97*'Menu Productos'!$F$9+H97*'Menu Productos'!$F$10+I97*'Menu Productos'!$F$11+J97*'Menu Productos'!$F$12)</f>
        <v>0</v>
      </c>
      <c r="M97" s="28">
        <f>IF(A97="","",C97*'Menu Productos'!$E$5+D97*'Menu Productos'!$E$6+E97*'Menu Productos'!$E$7+F97*'Menu Productos'!$E$8+G97*'Menu Productos'!$E$9+H97*'Menu Productos'!$E$10+I97*'Menu Productos'!$E$11+J97*'Menu Productos'!$E$12)</f>
        <v>0</v>
      </c>
      <c r="N97" s="29"/>
      <c r="O97" s="28">
        <f t="shared" si="7"/>
        <v>0</v>
      </c>
      <c r="P97" s="29"/>
      <c r="Q97" s="29"/>
      <c r="R97" s="29"/>
      <c r="S97" s="28">
        <f t="shared" si="8"/>
        <v>0</v>
      </c>
      <c r="T97" s="28">
        <f t="shared" si="9"/>
        <v>0</v>
      </c>
      <c r="U97" s="12"/>
      <c r="V97" s="12" t="str">
        <f ca="1">IF(A97&gt;TODAY(),"FUTURO",IF(AND(K97=0,N97=0,S97=0),"SIN MOVIMIENTO",IF(ABS(T97)&lt;='Metas y Control'!$B$6,"OK","REVISAR CAJA")))</f>
        <v>SIN MOVIMIENTO</v>
      </c>
    </row>
    <row r="98" spans="1:22" x14ac:dyDescent="0.3">
      <c r="A98" s="25">
        <f>IF(YEAR(A97+1)=Dashboard!$B$2,A97+1,"")</f>
        <v>46116</v>
      </c>
      <c r="B98" s="26" t="str">
        <f t="shared" si="5"/>
        <v>abril</v>
      </c>
      <c r="C98" s="24"/>
      <c r="D98" s="24"/>
      <c r="E98" s="24"/>
      <c r="F98" s="24"/>
      <c r="G98" s="24"/>
      <c r="H98" s="24"/>
      <c r="I98" s="24"/>
      <c r="J98" s="24"/>
      <c r="K98" s="27">
        <f t="shared" si="6"/>
        <v>0</v>
      </c>
      <c r="L98" s="28">
        <f>IF(A98="","",C98*'Menu Productos'!$F$5+D98*'Menu Productos'!$F$6+E98*'Menu Productos'!$F$7+F98*'Menu Productos'!$F$8+G98*'Menu Productos'!$F$9+H98*'Menu Productos'!$F$10+I98*'Menu Productos'!$F$11+J98*'Menu Productos'!$F$12)</f>
        <v>0</v>
      </c>
      <c r="M98" s="28">
        <f>IF(A98="","",C98*'Menu Productos'!$E$5+D98*'Menu Productos'!$E$6+E98*'Menu Productos'!$E$7+F98*'Menu Productos'!$E$8+G98*'Menu Productos'!$E$9+H98*'Menu Productos'!$E$10+I98*'Menu Productos'!$E$11+J98*'Menu Productos'!$E$12)</f>
        <v>0</v>
      </c>
      <c r="N98" s="29"/>
      <c r="O98" s="28">
        <f t="shared" si="7"/>
        <v>0</v>
      </c>
      <c r="P98" s="29"/>
      <c r="Q98" s="29"/>
      <c r="R98" s="29"/>
      <c r="S98" s="28">
        <f t="shared" si="8"/>
        <v>0</v>
      </c>
      <c r="T98" s="28">
        <f t="shared" si="9"/>
        <v>0</v>
      </c>
      <c r="U98" s="12"/>
      <c r="V98" s="12" t="str">
        <f ca="1">IF(A98&gt;TODAY(),"FUTURO",IF(AND(K98=0,N98=0,S98=0),"SIN MOVIMIENTO",IF(ABS(T98)&lt;='Metas y Control'!$B$6,"OK","REVISAR CAJA")))</f>
        <v>SIN MOVIMIENTO</v>
      </c>
    </row>
    <row r="99" spans="1:22" x14ac:dyDescent="0.3">
      <c r="A99" s="25">
        <f>IF(YEAR(A98+1)=Dashboard!$B$2,A98+1,"")</f>
        <v>46117</v>
      </c>
      <c r="B99" s="26" t="str">
        <f t="shared" si="5"/>
        <v>abril</v>
      </c>
      <c r="C99" s="24"/>
      <c r="D99" s="24"/>
      <c r="E99" s="24"/>
      <c r="F99" s="24"/>
      <c r="G99" s="24"/>
      <c r="H99" s="24"/>
      <c r="I99" s="24"/>
      <c r="J99" s="24"/>
      <c r="K99" s="27">
        <f t="shared" si="6"/>
        <v>0</v>
      </c>
      <c r="L99" s="28">
        <f>IF(A99="","",C99*'Menu Productos'!$F$5+D99*'Menu Productos'!$F$6+E99*'Menu Productos'!$F$7+F99*'Menu Productos'!$F$8+G99*'Menu Productos'!$F$9+H99*'Menu Productos'!$F$10+I99*'Menu Productos'!$F$11+J99*'Menu Productos'!$F$12)</f>
        <v>0</v>
      </c>
      <c r="M99" s="28">
        <f>IF(A99="","",C99*'Menu Productos'!$E$5+D99*'Menu Productos'!$E$6+E99*'Menu Productos'!$E$7+F99*'Menu Productos'!$E$8+G99*'Menu Productos'!$E$9+H99*'Menu Productos'!$E$10+I99*'Menu Productos'!$E$11+J99*'Menu Productos'!$E$12)</f>
        <v>0</v>
      </c>
      <c r="N99" s="29"/>
      <c r="O99" s="28">
        <f t="shared" si="7"/>
        <v>0</v>
      </c>
      <c r="P99" s="29"/>
      <c r="Q99" s="29"/>
      <c r="R99" s="29"/>
      <c r="S99" s="28">
        <f t="shared" si="8"/>
        <v>0</v>
      </c>
      <c r="T99" s="28">
        <f t="shared" si="9"/>
        <v>0</v>
      </c>
      <c r="U99" s="12"/>
      <c r="V99" s="12" t="str">
        <f ca="1">IF(A99&gt;TODAY(),"FUTURO",IF(AND(K99=0,N99=0,S99=0),"SIN MOVIMIENTO",IF(ABS(T99)&lt;='Metas y Control'!$B$6,"OK","REVISAR CAJA")))</f>
        <v>SIN MOVIMIENTO</v>
      </c>
    </row>
    <row r="100" spans="1:22" x14ac:dyDescent="0.3">
      <c r="A100" s="25">
        <f>IF(YEAR(A99+1)=Dashboard!$B$2,A99+1,"")</f>
        <v>46118</v>
      </c>
      <c r="B100" s="26" t="str">
        <f t="shared" si="5"/>
        <v>abril</v>
      </c>
      <c r="C100" s="24"/>
      <c r="D100" s="24"/>
      <c r="E100" s="24"/>
      <c r="F100" s="24"/>
      <c r="G100" s="24"/>
      <c r="H100" s="24"/>
      <c r="I100" s="24"/>
      <c r="J100" s="24"/>
      <c r="K100" s="27">
        <f t="shared" si="6"/>
        <v>0</v>
      </c>
      <c r="L100" s="28">
        <f>IF(A100="","",C100*'Menu Productos'!$F$5+D100*'Menu Productos'!$F$6+E100*'Menu Productos'!$F$7+F100*'Menu Productos'!$F$8+G100*'Menu Productos'!$F$9+H100*'Menu Productos'!$F$10+I100*'Menu Productos'!$F$11+J100*'Menu Productos'!$F$12)</f>
        <v>0</v>
      </c>
      <c r="M100" s="28">
        <f>IF(A100="","",C100*'Menu Productos'!$E$5+D100*'Menu Productos'!$E$6+E100*'Menu Productos'!$E$7+F100*'Menu Productos'!$E$8+G100*'Menu Productos'!$E$9+H100*'Menu Productos'!$E$10+I100*'Menu Productos'!$E$11+J100*'Menu Productos'!$E$12)</f>
        <v>0</v>
      </c>
      <c r="N100" s="29"/>
      <c r="O100" s="28">
        <f t="shared" si="7"/>
        <v>0</v>
      </c>
      <c r="P100" s="29"/>
      <c r="Q100" s="29"/>
      <c r="R100" s="29"/>
      <c r="S100" s="28">
        <f t="shared" si="8"/>
        <v>0</v>
      </c>
      <c r="T100" s="28">
        <f t="shared" si="9"/>
        <v>0</v>
      </c>
      <c r="U100" s="12"/>
      <c r="V100" s="12" t="str">
        <f ca="1">IF(A100&gt;TODAY(),"FUTURO",IF(AND(K100=0,N100=0,S100=0),"SIN MOVIMIENTO",IF(ABS(T100)&lt;='Metas y Control'!$B$6,"OK","REVISAR CAJA")))</f>
        <v>SIN MOVIMIENTO</v>
      </c>
    </row>
    <row r="101" spans="1:22" x14ac:dyDescent="0.3">
      <c r="A101" s="25">
        <f>IF(YEAR(A100+1)=Dashboard!$B$2,A100+1,"")</f>
        <v>46119</v>
      </c>
      <c r="B101" s="26" t="str">
        <f t="shared" si="5"/>
        <v>abril</v>
      </c>
      <c r="C101" s="24"/>
      <c r="D101" s="24"/>
      <c r="E101" s="24"/>
      <c r="F101" s="24"/>
      <c r="G101" s="24"/>
      <c r="H101" s="24"/>
      <c r="I101" s="24"/>
      <c r="J101" s="24"/>
      <c r="K101" s="27">
        <f t="shared" si="6"/>
        <v>0</v>
      </c>
      <c r="L101" s="28">
        <f>IF(A101="","",C101*'Menu Productos'!$F$5+D101*'Menu Productos'!$F$6+E101*'Menu Productos'!$F$7+F101*'Menu Productos'!$F$8+G101*'Menu Productos'!$F$9+H101*'Menu Productos'!$F$10+I101*'Menu Productos'!$F$11+J101*'Menu Productos'!$F$12)</f>
        <v>0</v>
      </c>
      <c r="M101" s="28">
        <f>IF(A101="","",C101*'Menu Productos'!$E$5+D101*'Menu Productos'!$E$6+E101*'Menu Productos'!$E$7+F101*'Menu Productos'!$E$8+G101*'Menu Productos'!$E$9+H101*'Menu Productos'!$E$10+I101*'Menu Productos'!$E$11+J101*'Menu Productos'!$E$12)</f>
        <v>0</v>
      </c>
      <c r="N101" s="29"/>
      <c r="O101" s="28">
        <f t="shared" si="7"/>
        <v>0</v>
      </c>
      <c r="P101" s="29"/>
      <c r="Q101" s="29"/>
      <c r="R101" s="29"/>
      <c r="S101" s="28">
        <f t="shared" si="8"/>
        <v>0</v>
      </c>
      <c r="T101" s="28">
        <f t="shared" si="9"/>
        <v>0</v>
      </c>
      <c r="U101" s="12"/>
      <c r="V101" s="12" t="str">
        <f ca="1">IF(A101&gt;TODAY(),"FUTURO",IF(AND(K101=0,N101=0,S101=0),"SIN MOVIMIENTO",IF(ABS(T101)&lt;='Metas y Control'!$B$6,"OK","REVISAR CAJA")))</f>
        <v>SIN MOVIMIENTO</v>
      </c>
    </row>
    <row r="102" spans="1:22" x14ac:dyDescent="0.3">
      <c r="A102" s="25">
        <f>IF(YEAR(A101+1)=Dashboard!$B$2,A101+1,"")</f>
        <v>46120</v>
      </c>
      <c r="B102" s="26" t="str">
        <f t="shared" si="5"/>
        <v>abril</v>
      </c>
      <c r="C102" s="24"/>
      <c r="D102" s="24"/>
      <c r="E102" s="24"/>
      <c r="F102" s="24"/>
      <c r="G102" s="24"/>
      <c r="H102" s="24"/>
      <c r="I102" s="24"/>
      <c r="J102" s="24"/>
      <c r="K102" s="27">
        <f t="shared" si="6"/>
        <v>0</v>
      </c>
      <c r="L102" s="28">
        <f>IF(A102="","",C102*'Menu Productos'!$F$5+D102*'Menu Productos'!$F$6+E102*'Menu Productos'!$F$7+F102*'Menu Productos'!$F$8+G102*'Menu Productos'!$F$9+H102*'Menu Productos'!$F$10+I102*'Menu Productos'!$F$11+J102*'Menu Productos'!$F$12)</f>
        <v>0</v>
      </c>
      <c r="M102" s="28">
        <f>IF(A102="","",C102*'Menu Productos'!$E$5+D102*'Menu Productos'!$E$6+E102*'Menu Productos'!$E$7+F102*'Menu Productos'!$E$8+G102*'Menu Productos'!$E$9+H102*'Menu Productos'!$E$10+I102*'Menu Productos'!$E$11+J102*'Menu Productos'!$E$12)</f>
        <v>0</v>
      </c>
      <c r="N102" s="29"/>
      <c r="O102" s="28">
        <f t="shared" si="7"/>
        <v>0</v>
      </c>
      <c r="P102" s="29"/>
      <c r="Q102" s="29"/>
      <c r="R102" s="29"/>
      <c r="S102" s="28">
        <f t="shared" si="8"/>
        <v>0</v>
      </c>
      <c r="T102" s="28">
        <f t="shared" si="9"/>
        <v>0</v>
      </c>
      <c r="U102" s="12"/>
      <c r="V102" s="12" t="str">
        <f ca="1">IF(A102&gt;TODAY(),"FUTURO",IF(AND(K102=0,N102=0,S102=0),"SIN MOVIMIENTO",IF(ABS(T102)&lt;='Metas y Control'!$B$6,"OK","REVISAR CAJA")))</f>
        <v>SIN MOVIMIENTO</v>
      </c>
    </row>
    <row r="103" spans="1:22" x14ac:dyDescent="0.3">
      <c r="A103" s="25">
        <f>IF(YEAR(A102+1)=Dashboard!$B$2,A102+1,"")</f>
        <v>46121</v>
      </c>
      <c r="B103" s="26" t="str">
        <f t="shared" si="5"/>
        <v>abril</v>
      </c>
      <c r="C103" s="24"/>
      <c r="D103" s="24"/>
      <c r="E103" s="24"/>
      <c r="F103" s="24"/>
      <c r="G103" s="24"/>
      <c r="H103" s="24"/>
      <c r="I103" s="24"/>
      <c r="J103" s="24"/>
      <c r="K103" s="27">
        <f t="shared" si="6"/>
        <v>0</v>
      </c>
      <c r="L103" s="28">
        <f>IF(A103="","",C103*'Menu Productos'!$F$5+D103*'Menu Productos'!$F$6+E103*'Menu Productos'!$F$7+F103*'Menu Productos'!$F$8+G103*'Menu Productos'!$F$9+H103*'Menu Productos'!$F$10+I103*'Menu Productos'!$F$11+J103*'Menu Productos'!$F$12)</f>
        <v>0</v>
      </c>
      <c r="M103" s="28">
        <f>IF(A103="","",C103*'Menu Productos'!$E$5+D103*'Menu Productos'!$E$6+E103*'Menu Productos'!$E$7+F103*'Menu Productos'!$E$8+G103*'Menu Productos'!$E$9+H103*'Menu Productos'!$E$10+I103*'Menu Productos'!$E$11+J103*'Menu Productos'!$E$12)</f>
        <v>0</v>
      </c>
      <c r="N103" s="29"/>
      <c r="O103" s="28">
        <f t="shared" si="7"/>
        <v>0</v>
      </c>
      <c r="P103" s="29"/>
      <c r="Q103" s="29"/>
      <c r="R103" s="29"/>
      <c r="S103" s="28">
        <f t="shared" si="8"/>
        <v>0</v>
      </c>
      <c r="T103" s="28">
        <f t="shared" si="9"/>
        <v>0</v>
      </c>
      <c r="U103" s="12"/>
      <c r="V103" s="12" t="str">
        <f ca="1">IF(A103&gt;TODAY(),"FUTURO",IF(AND(K103=0,N103=0,S103=0),"SIN MOVIMIENTO",IF(ABS(T103)&lt;='Metas y Control'!$B$6,"OK","REVISAR CAJA")))</f>
        <v>SIN MOVIMIENTO</v>
      </c>
    </row>
    <row r="104" spans="1:22" x14ac:dyDescent="0.3">
      <c r="A104" s="25">
        <f>IF(YEAR(A103+1)=Dashboard!$B$2,A103+1,"")</f>
        <v>46122</v>
      </c>
      <c r="B104" s="26" t="str">
        <f t="shared" si="5"/>
        <v>abril</v>
      </c>
      <c r="C104" s="24"/>
      <c r="D104" s="24"/>
      <c r="E104" s="24"/>
      <c r="F104" s="24"/>
      <c r="G104" s="24"/>
      <c r="H104" s="24"/>
      <c r="I104" s="24"/>
      <c r="J104" s="24"/>
      <c r="K104" s="27">
        <f t="shared" si="6"/>
        <v>0</v>
      </c>
      <c r="L104" s="28">
        <f>IF(A104="","",C104*'Menu Productos'!$F$5+D104*'Menu Productos'!$F$6+E104*'Menu Productos'!$F$7+F104*'Menu Productos'!$F$8+G104*'Menu Productos'!$F$9+H104*'Menu Productos'!$F$10+I104*'Menu Productos'!$F$11+J104*'Menu Productos'!$F$12)</f>
        <v>0</v>
      </c>
      <c r="M104" s="28">
        <f>IF(A104="","",C104*'Menu Productos'!$E$5+D104*'Menu Productos'!$E$6+E104*'Menu Productos'!$E$7+F104*'Menu Productos'!$E$8+G104*'Menu Productos'!$E$9+H104*'Menu Productos'!$E$10+I104*'Menu Productos'!$E$11+J104*'Menu Productos'!$E$12)</f>
        <v>0</v>
      </c>
      <c r="N104" s="29"/>
      <c r="O104" s="28">
        <f t="shared" si="7"/>
        <v>0</v>
      </c>
      <c r="P104" s="29"/>
      <c r="Q104" s="29"/>
      <c r="R104" s="29"/>
      <c r="S104" s="28">
        <f t="shared" si="8"/>
        <v>0</v>
      </c>
      <c r="T104" s="28">
        <f t="shared" si="9"/>
        <v>0</v>
      </c>
      <c r="U104" s="12"/>
      <c r="V104" s="12" t="str">
        <f ca="1">IF(A104&gt;TODAY(),"FUTURO",IF(AND(K104=0,N104=0,S104=0),"SIN MOVIMIENTO",IF(ABS(T104)&lt;='Metas y Control'!$B$6,"OK","REVISAR CAJA")))</f>
        <v>SIN MOVIMIENTO</v>
      </c>
    </row>
    <row r="105" spans="1:22" x14ac:dyDescent="0.3">
      <c r="A105" s="25">
        <f>IF(YEAR(A104+1)=Dashboard!$B$2,A104+1,"")</f>
        <v>46123</v>
      </c>
      <c r="B105" s="26" t="str">
        <f t="shared" si="5"/>
        <v>abril</v>
      </c>
      <c r="C105" s="24"/>
      <c r="D105" s="24"/>
      <c r="E105" s="24"/>
      <c r="F105" s="24"/>
      <c r="G105" s="24"/>
      <c r="H105" s="24"/>
      <c r="I105" s="24"/>
      <c r="J105" s="24"/>
      <c r="K105" s="27">
        <f t="shared" si="6"/>
        <v>0</v>
      </c>
      <c r="L105" s="28">
        <f>IF(A105="","",C105*'Menu Productos'!$F$5+D105*'Menu Productos'!$F$6+E105*'Menu Productos'!$F$7+F105*'Menu Productos'!$F$8+G105*'Menu Productos'!$F$9+H105*'Menu Productos'!$F$10+I105*'Menu Productos'!$F$11+J105*'Menu Productos'!$F$12)</f>
        <v>0</v>
      </c>
      <c r="M105" s="28">
        <f>IF(A105="","",C105*'Menu Productos'!$E$5+D105*'Menu Productos'!$E$6+E105*'Menu Productos'!$E$7+F105*'Menu Productos'!$E$8+G105*'Menu Productos'!$E$9+H105*'Menu Productos'!$E$10+I105*'Menu Productos'!$E$11+J105*'Menu Productos'!$E$12)</f>
        <v>0</v>
      </c>
      <c r="N105" s="29"/>
      <c r="O105" s="28">
        <f t="shared" si="7"/>
        <v>0</v>
      </c>
      <c r="P105" s="29"/>
      <c r="Q105" s="29"/>
      <c r="R105" s="29"/>
      <c r="S105" s="28">
        <f t="shared" si="8"/>
        <v>0</v>
      </c>
      <c r="T105" s="28">
        <f t="shared" si="9"/>
        <v>0</v>
      </c>
      <c r="U105" s="12"/>
      <c r="V105" s="12" t="str">
        <f ca="1">IF(A105&gt;TODAY(),"FUTURO",IF(AND(K105=0,N105=0,S105=0),"SIN MOVIMIENTO",IF(ABS(T105)&lt;='Metas y Control'!$B$6,"OK","REVISAR CAJA")))</f>
        <v>SIN MOVIMIENTO</v>
      </c>
    </row>
    <row r="106" spans="1:22" x14ac:dyDescent="0.3">
      <c r="A106" s="25">
        <f>IF(YEAR(A105+1)=Dashboard!$B$2,A105+1,"")</f>
        <v>46124</v>
      </c>
      <c r="B106" s="26" t="str">
        <f t="shared" si="5"/>
        <v>abril</v>
      </c>
      <c r="C106" s="24"/>
      <c r="D106" s="24"/>
      <c r="E106" s="24"/>
      <c r="F106" s="24"/>
      <c r="G106" s="24"/>
      <c r="H106" s="24"/>
      <c r="I106" s="24"/>
      <c r="J106" s="24"/>
      <c r="K106" s="27">
        <f t="shared" si="6"/>
        <v>0</v>
      </c>
      <c r="L106" s="28">
        <f>IF(A106="","",C106*'Menu Productos'!$F$5+D106*'Menu Productos'!$F$6+E106*'Menu Productos'!$F$7+F106*'Menu Productos'!$F$8+G106*'Menu Productos'!$F$9+H106*'Menu Productos'!$F$10+I106*'Menu Productos'!$F$11+J106*'Menu Productos'!$F$12)</f>
        <v>0</v>
      </c>
      <c r="M106" s="28">
        <f>IF(A106="","",C106*'Menu Productos'!$E$5+D106*'Menu Productos'!$E$6+E106*'Menu Productos'!$E$7+F106*'Menu Productos'!$E$8+G106*'Menu Productos'!$E$9+H106*'Menu Productos'!$E$10+I106*'Menu Productos'!$E$11+J106*'Menu Productos'!$E$12)</f>
        <v>0</v>
      </c>
      <c r="N106" s="29"/>
      <c r="O106" s="28">
        <f t="shared" si="7"/>
        <v>0</v>
      </c>
      <c r="P106" s="29"/>
      <c r="Q106" s="29"/>
      <c r="R106" s="29"/>
      <c r="S106" s="28">
        <f t="shared" si="8"/>
        <v>0</v>
      </c>
      <c r="T106" s="28">
        <f t="shared" si="9"/>
        <v>0</v>
      </c>
      <c r="U106" s="12"/>
      <c r="V106" s="12" t="str">
        <f ca="1">IF(A106&gt;TODAY(),"FUTURO",IF(AND(K106=0,N106=0,S106=0),"SIN MOVIMIENTO",IF(ABS(T106)&lt;='Metas y Control'!$B$6,"OK","REVISAR CAJA")))</f>
        <v>SIN MOVIMIENTO</v>
      </c>
    </row>
    <row r="107" spans="1:22" x14ac:dyDescent="0.3">
      <c r="A107" s="25">
        <f>IF(YEAR(A106+1)=Dashboard!$B$2,A106+1,"")</f>
        <v>46125</v>
      </c>
      <c r="B107" s="26" t="str">
        <f t="shared" si="5"/>
        <v>abril</v>
      </c>
      <c r="C107" s="24"/>
      <c r="D107" s="24"/>
      <c r="E107" s="24"/>
      <c r="F107" s="24"/>
      <c r="G107" s="24"/>
      <c r="H107" s="24"/>
      <c r="I107" s="24"/>
      <c r="J107" s="24"/>
      <c r="K107" s="27">
        <f t="shared" si="6"/>
        <v>0</v>
      </c>
      <c r="L107" s="28">
        <f>IF(A107="","",C107*'Menu Productos'!$F$5+D107*'Menu Productos'!$F$6+E107*'Menu Productos'!$F$7+F107*'Menu Productos'!$F$8+G107*'Menu Productos'!$F$9+H107*'Menu Productos'!$F$10+I107*'Menu Productos'!$F$11+J107*'Menu Productos'!$F$12)</f>
        <v>0</v>
      </c>
      <c r="M107" s="28">
        <f>IF(A107="","",C107*'Menu Productos'!$E$5+D107*'Menu Productos'!$E$6+E107*'Menu Productos'!$E$7+F107*'Menu Productos'!$E$8+G107*'Menu Productos'!$E$9+H107*'Menu Productos'!$E$10+I107*'Menu Productos'!$E$11+J107*'Menu Productos'!$E$12)</f>
        <v>0</v>
      </c>
      <c r="N107" s="29"/>
      <c r="O107" s="28">
        <f t="shared" si="7"/>
        <v>0</v>
      </c>
      <c r="P107" s="29"/>
      <c r="Q107" s="29"/>
      <c r="R107" s="29"/>
      <c r="S107" s="28">
        <f t="shared" si="8"/>
        <v>0</v>
      </c>
      <c r="T107" s="28">
        <f t="shared" si="9"/>
        <v>0</v>
      </c>
      <c r="U107" s="12"/>
      <c r="V107" s="12" t="str">
        <f ca="1">IF(A107&gt;TODAY(),"FUTURO",IF(AND(K107=0,N107=0,S107=0),"SIN MOVIMIENTO",IF(ABS(T107)&lt;='Metas y Control'!$B$6,"OK","REVISAR CAJA")))</f>
        <v>SIN MOVIMIENTO</v>
      </c>
    </row>
    <row r="108" spans="1:22" x14ac:dyDescent="0.3">
      <c r="A108" s="25">
        <f>IF(YEAR(A107+1)=Dashboard!$B$2,A107+1,"")</f>
        <v>46126</v>
      </c>
      <c r="B108" s="26" t="str">
        <f t="shared" si="5"/>
        <v>abril</v>
      </c>
      <c r="C108" s="24"/>
      <c r="D108" s="24"/>
      <c r="E108" s="24"/>
      <c r="F108" s="24"/>
      <c r="G108" s="24"/>
      <c r="H108" s="24"/>
      <c r="I108" s="24"/>
      <c r="J108" s="24"/>
      <c r="K108" s="27">
        <f t="shared" si="6"/>
        <v>0</v>
      </c>
      <c r="L108" s="28">
        <f>IF(A108="","",C108*'Menu Productos'!$F$5+D108*'Menu Productos'!$F$6+E108*'Menu Productos'!$F$7+F108*'Menu Productos'!$F$8+G108*'Menu Productos'!$F$9+H108*'Menu Productos'!$F$10+I108*'Menu Productos'!$F$11+J108*'Menu Productos'!$F$12)</f>
        <v>0</v>
      </c>
      <c r="M108" s="28">
        <f>IF(A108="","",C108*'Menu Productos'!$E$5+D108*'Menu Productos'!$E$6+E108*'Menu Productos'!$E$7+F108*'Menu Productos'!$E$8+G108*'Menu Productos'!$E$9+H108*'Menu Productos'!$E$10+I108*'Menu Productos'!$E$11+J108*'Menu Productos'!$E$12)</f>
        <v>0</v>
      </c>
      <c r="N108" s="29"/>
      <c r="O108" s="28">
        <f t="shared" si="7"/>
        <v>0</v>
      </c>
      <c r="P108" s="29"/>
      <c r="Q108" s="29"/>
      <c r="R108" s="29"/>
      <c r="S108" s="28">
        <f t="shared" si="8"/>
        <v>0</v>
      </c>
      <c r="T108" s="28">
        <f t="shared" si="9"/>
        <v>0</v>
      </c>
      <c r="U108" s="12"/>
      <c r="V108" s="12" t="str">
        <f ca="1">IF(A108&gt;TODAY(),"FUTURO",IF(AND(K108=0,N108=0,S108=0),"SIN MOVIMIENTO",IF(ABS(T108)&lt;='Metas y Control'!$B$6,"OK","REVISAR CAJA")))</f>
        <v>SIN MOVIMIENTO</v>
      </c>
    </row>
    <row r="109" spans="1:22" x14ac:dyDescent="0.3">
      <c r="A109" s="25">
        <f>IF(YEAR(A108+1)=Dashboard!$B$2,A108+1,"")</f>
        <v>46127</v>
      </c>
      <c r="B109" s="26" t="str">
        <f t="shared" si="5"/>
        <v>abril</v>
      </c>
      <c r="C109" s="24"/>
      <c r="D109" s="24"/>
      <c r="E109" s="24"/>
      <c r="F109" s="24"/>
      <c r="G109" s="24"/>
      <c r="H109" s="24"/>
      <c r="I109" s="24"/>
      <c r="J109" s="24"/>
      <c r="K109" s="27">
        <f t="shared" si="6"/>
        <v>0</v>
      </c>
      <c r="L109" s="28">
        <f>IF(A109="","",C109*'Menu Productos'!$F$5+D109*'Menu Productos'!$F$6+E109*'Menu Productos'!$F$7+F109*'Menu Productos'!$F$8+G109*'Menu Productos'!$F$9+H109*'Menu Productos'!$F$10+I109*'Menu Productos'!$F$11+J109*'Menu Productos'!$F$12)</f>
        <v>0</v>
      </c>
      <c r="M109" s="28">
        <f>IF(A109="","",C109*'Menu Productos'!$E$5+D109*'Menu Productos'!$E$6+E109*'Menu Productos'!$E$7+F109*'Menu Productos'!$E$8+G109*'Menu Productos'!$E$9+H109*'Menu Productos'!$E$10+I109*'Menu Productos'!$E$11+J109*'Menu Productos'!$E$12)</f>
        <v>0</v>
      </c>
      <c r="N109" s="29"/>
      <c r="O109" s="28">
        <f t="shared" si="7"/>
        <v>0</v>
      </c>
      <c r="P109" s="29"/>
      <c r="Q109" s="29"/>
      <c r="R109" s="29"/>
      <c r="S109" s="28">
        <f t="shared" si="8"/>
        <v>0</v>
      </c>
      <c r="T109" s="28">
        <f t="shared" si="9"/>
        <v>0</v>
      </c>
      <c r="U109" s="12"/>
      <c r="V109" s="12" t="str">
        <f ca="1">IF(A109&gt;TODAY(),"FUTURO",IF(AND(K109=0,N109=0,S109=0),"SIN MOVIMIENTO",IF(ABS(T109)&lt;='Metas y Control'!$B$6,"OK","REVISAR CAJA")))</f>
        <v>SIN MOVIMIENTO</v>
      </c>
    </row>
    <row r="110" spans="1:22" x14ac:dyDescent="0.3">
      <c r="A110" s="25">
        <f>IF(YEAR(A109+1)=Dashboard!$B$2,A109+1,"")</f>
        <v>46128</v>
      </c>
      <c r="B110" s="26" t="str">
        <f t="shared" si="5"/>
        <v>abril</v>
      </c>
      <c r="C110" s="24"/>
      <c r="D110" s="24"/>
      <c r="E110" s="24"/>
      <c r="F110" s="24"/>
      <c r="G110" s="24"/>
      <c r="H110" s="24"/>
      <c r="I110" s="24"/>
      <c r="J110" s="24"/>
      <c r="K110" s="27">
        <f t="shared" si="6"/>
        <v>0</v>
      </c>
      <c r="L110" s="28">
        <f>IF(A110="","",C110*'Menu Productos'!$F$5+D110*'Menu Productos'!$F$6+E110*'Menu Productos'!$F$7+F110*'Menu Productos'!$F$8+G110*'Menu Productos'!$F$9+H110*'Menu Productos'!$F$10+I110*'Menu Productos'!$F$11+J110*'Menu Productos'!$F$12)</f>
        <v>0</v>
      </c>
      <c r="M110" s="28">
        <f>IF(A110="","",C110*'Menu Productos'!$E$5+D110*'Menu Productos'!$E$6+E110*'Menu Productos'!$E$7+F110*'Menu Productos'!$E$8+G110*'Menu Productos'!$E$9+H110*'Menu Productos'!$E$10+I110*'Menu Productos'!$E$11+J110*'Menu Productos'!$E$12)</f>
        <v>0</v>
      </c>
      <c r="N110" s="29"/>
      <c r="O110" s="28">
        <f t="shared" si="7"/>
        <v>0</v>
      </c>
      <c r="P110" s="29"/>
      <c r="Q110" s="29"/>
      <c r="R110" s="29"/>
      <c r="S110" s="28">
        <f t="shared" si="8"/>
        <v>0</v>
      </c>
      <c r="T110" s="28">
        <f t="shared" si="9"/>
        <v>0</v>
      </c>
      <c r="U110" s="12"/>
      <c r="V110" s="12" t="str">
        <f ca="1">IF(A110&gt;TODAY(),"FUTURO",IF(AND(K110=0,N110=0,S110=0),"SIN MOVIMIENTO",IF(ABS(T110)&lt;='Metas y Control'!$B$6,"OK","REVISAR CAJA")))</f>
        <v>SIN MOVIMIENTO</v>
      </c>
    </row>
    <row r="111" spans="1:22" x14ac:dyDescent="0.3">
      <c r="A111" s="25">
        <f>IF(YEAR(A110+1)=Dashboard!$B$2,A110+1,"")</f>
        <v>46129</v>
      </c>
      <c r="B111" s="26" t="str">
        <f t="shared" si="5"/>
        <v>abril</v>
      </c>
      <c r="C111" s="24"/>
      <c r="D111" s="24"/>
      <c r="E111" s="24"/>
      <c r="F111" s="24"/>
      <c r="G111" s="24"/>
      <c r="H111" s="24"/>
      <c r="I111" s="24"/>
      <c r="J111" s="24"/>
      <c r="K111" s="27">
        <f t="shared" si="6"/>
        <v>0</v>
      </c>
      <c r="L111" s="28">
        <f>IF(A111="","",C111*'Menu Productos'!$F$5+D111*'Menu Productos'!$F$6+E111*'Menu Productos'!$F$7+F111*'Menu Productos'!$F$8+G111*'Menu Productos'!$F$9+H111*'Menu Productos'!$F$10+I111*'Menu Productos'!$F$11+J111*'Menu Productos'!$F$12)</f>
        <v>0</v>
      </c>
      <c r="M111" s="28">
        <f>IF(A111="","",C111*'Menu Productos'!$E$5+D111*'Menu Productos'!$E$6+E111*'Menu Productos'!$E$7+F111*'Menu Productos'!$E$8+G111*'Menu Productos'!$E$9+H111*'Menu Productos'!$E$10+I111*'Menu Productos'!$E$11+J111*'Menu Productos'!$E$12)</f>
        <v>0</v>
      </c>
      <c r="N111" s="29"/>
      <c r="O111" s="28">
        <f t="shared" si="7"/>
        <v>0</v>
      </c>
      <c r="P111" s="29"/>
      <c r="Q111" s="29"/>
      <c r="R111" s="29"/>
      <c r="S111" s="28">
        <f t="shared" si="8"/>
        <v>0</v>
      </c>
      <c r="T111" s="28">
        <f t="shared" si="9"/>
        <v>0</v>
      </c>
      <c r="U111" s="12"/>
      <c r="V111" s="12" t="str">
        <f ca="1">IF(A111&gt;TODAY(),"FUTURO",IF(AND(K111=0,N111=0,S111=0),"SIN MOVIMIENTO",IF(ABS(T111)&lt;='Metas y Control'!$B$6,"OK","REVISAR CAJA")))</f>
        <v>SIN MOVIMIENTO</v>
      </c>
    </row>
    <row r="112" spans="1:22" x14ac:dyDescent="0.3">
      <c r="A112" s="25">
        <f>IF(YEAR(A111+1)=Dashboard!$B$2,A111+1,"")</f>
        <v>46130</v>
      </c>
      <c r="B112" s="26" t="str">
        <f t="shared" si="5"/>
        <v>abril</v>
      </c>
      <c r="C112" s="24"/>
      <c r="D112" s="24"/>
      <c r="E112" s="24"/>
      <c r="F112" s="24"/>
      <c r="G112" s="24"/>
      <c r="H112" s="24"/>
      <c r="I112" s="24"/>
      <c r="J112" s="24"/>
      <c r="K112" s="27">
        <f t="shared" si="6"/>
        <v>0</v>
      </c>
      <c r="L112" s="28">
        <f>IF(A112="","",C112*'Menu Productos'!$F$5+D112*'Menu Productos'!$F$6+E112*'Menu Productos'!$F$7+F112*'Menu Productos'!$F$8+G112*'Menu Productos'!$F$9+H112*'Menu Productos'!$F$10+I112*'Menu Productos'!$F$11+J112*'Menu Productos'!$F$12)</f>
        <v>0</v>
      </c>
      <c r="M112" s="28">
        <f>IF(A112="","",C112*'Menu Productos'!$E$5+D112*'Menu Productos'!$E$6+E112*'Menu Productos'!$E$7+F112*'Menu Productos'!$E$8+G112*'Menu Productos'!$E$9+H112*'Menu Productos'!$E$10+I112*'Menu Productos'!$E$11+J112*'Menu Productos'!$E$12)</f>
        <v>0</v>
      </c>
      <c r="N112" s="29"/>
      <c r="O112" s="28">
        <f t="shared" si="7"/>
        <v>0</v>
      </c>
      <c r="P112" s="29"/>
      <c r="Q112" s="29"/>
      <c r="R112" s="29"/>
      <c r="S112" s="28">
        <f t="shared" si="8"/>
        <v>0</v>
      </c>
      <c r="T112" s="28">
        <f t="shared" si="9"/>
        <v>0</v>
      </c>
      <c r="U112" s="12"/>
      <c r="V112" s="12" t="str">
        <f ca="1">IF(A112&gt;TODAY(),"FUTURO",IF(AND(K112=0,N112=0,S112=0),"SIN MOVIMIENTO",IF(ABS(T112)&lt;='Metas y Control'!$B$6,"OK","REVISAR CAJA")))</f>
        <v>SIN MOVIMIENTO</v>
      </c>
    </row>
    <row r="113" spans="1:22" x14ac:dyDescent="0.3">
      <c r="A113" s="25">
        <f>IF(YEAR(A112+1)=Dashboard!$B$2,A112+1,"")</f>
        <v>46131</v>
      </c>
      <c r="B113" s="26" t="str">
        <f t="shared" si="5"/>
        <v>abril</v>
      </c>
      <c r="C113" s="24"/>
      <c r="D113" s="24"/>
      <c r="E113" s="24"/>
      <c r="F113" s="24"/>
      <c r="G113" s="24"/>
      <c r="H113" s="24"/>
      <c r="I113" s="24"/>
      <c r="J113" s="24"/>
      <c r="K113" s="27">
        <f t="shared" si="6"/>
        <v>0</v>
      </c>
      <c r="L113" s="28">
        <f>IF(A113="","",C113*'Menu Productos'!$F$5+D113*'Menu Productos'!$F$6+E113*'Menu Productos'!$F$7+F113*'Menu Productos'!$F$8+G113*'Menu Productos'!$F$9+H113*'Menu Productos'!$F$10+I113*'Menu Productos'!$F$11+J113*'Menu Productos'!$F$12)</f>
        <v>0</v>
      </c>
      <c r="M113" s="28">
        <f>IF(A113="","",C113*'Menu Productos'!$E$5+D113*'Menu Productos'!$E$6+E113*'Menu Productos'!$E$7+F113*'Menu Productos'!$E$8+G113*'Menu Productos'!$E$9+H113*'Menu Productos'!$E$10+I113*'Menu Productos'!$E$11+J113*'Menu Productos'!$E$12)</f>
        <v>0</v>
      </c>
      <c r="N113" s="29"/>
      <c r="O113" s="28">
        <f t="shared" si="7"/>
        <v>0</v>
      </c>
      <c r="P113" s="29"/>
      <c r="Q113" s="29"/>
      <c r="R113" s="29"/>
      <c r="S113" s="28">
        <f t="shared" si="8"/>
        <v>0</v>
      </c>
      <c r="T113" s="28">
        <f t="shared" si="9"/>
        <v>0</v>
      </c>
      <c r="U113" s="12"/>
      <c r="V113" s="12" t="str">
        <f ca="1">IF(A113&gt;TODAY(),"FUTURO",IF(AND(K113=0,N113=0,S113=0),"SIN MOVIMIENTO",IF(ABS(T113)&lt;='Metas y Control'!$B$6,"OK","REVISAR CAJA")))</f>
        <v>SIN MOVIMIENTO</v>
      </c>
    </row>
    <row r="114" spans="1:22" x14ac:dyDescent="0.3">
      <c r="A114" s="25">
        <f>IF(YEAR(A113+1)=Dashboard!$B$2,A113+1,"")</f>
        <v>46132</v>
      </c>
      <c r="B114" s="26" t="str">
        <f t="shared" si="5"/>
        <v>abril</v>
      </c>
      <c r="C114" s="24"/>
      <c r="D114" s="24"/>
      <c r="E114" s="24"/>
      <c r="F114" s="24"/>
      <c r="G114" s="24"/>
      <c r="H114" s="24"/>
      <c r="I114" s="24"/>
      <c r="J114" s="24"/>
      <c r="K114" s="27">
        <f t="shared" si="6"/>
        <v>0</v>
      </c>
      <c r="L114" s="28">
        <f>IF(A114="","",C114*'Menu Productos'!$F$5+D114*'Menu Productos'!$F$6+E114*'Menu Productos'!$F$7+F114*'Menu Productos'!$F$8+G114*'Menu Productos'!$F$9+H114*'Menu Productos'!$F$10+I114*'Menu Productos'!$F$11+J114*'Menu Productos'!$F$12)</f>
        <v>0</v>
      </c>
      <c r="M114" s="28">
        <f>IF(A114="","",C114*'Menu Productos'!$E$5+D114*'Menu Productos'!$E$6+E114*'Menu Productos'!$E$7+F114*'Menu Productos'!$E$8+G114*'Menu Productos'!$E$9+H114*'Menu Productos'!$E$10+I114*'Menu Productos'!$E$11+J114*'Menu Productos'!$E$12)</f>
        <v>0</v>
      </c>
      <c r="N114" s="29"/>
      <c r="O114" s="28">
        <f t="shared" si="7"/>
        <v>0</v>
      </c>
      <c r="P114" s="29"/>
      <c r="Q114" s="29"/>
      <c r="R114" s="29"/>
      <c r="S114" s="28">
        <f t="shared" si="8"/>
        <v>0</v>
      </c>
      <c r="T114" s="28">
        <f t="shared" si="9"/>
        <v>0</v>
      </c>
      <c r="U114" s="12"/>
      <c r="V114" s="12" t="str">
        <f ca="1">IF(A114&gt;TODAY(),"FUTURO",IF(AND(K114=0,N114=0,S114=0),"SIN MOVIMIENTO",IF(ABS(T114)&lt;='Metas y Control'!$B$6,"OK","REVISAR CAJA")))</f>
        <v>SIN MOVIMIENTO</v>
      </c>
    </row>
    <row r="115" spans="1:22" x14ac:dyDescent="0.3">
      <c r="A115" s="25">
        <f>IF(YEAR(A114+1)=Dashboard!$B$2,A114+1,"")</f>
        <v>46133</v>
      </c>
      <c r="B115" s="26" t="str">
        <f t="shared" si="5"/>
        <v>abril</v>
      </c>
      <c r="C115" s="24"/>
      <c r="D115" s="24"/>
      <c r="E115" s="24"/>
      <c r="F115" s="24"/>
      <c r="G115" s="24"/>
      <c r="H115" s="24"/>
      <c r="I115" s="24"/>
      <c r="J115" s="24"/>
      <c r="K115" s="27">
        <f t="shared" si="6"/>
        <v>0</v>
      </c>
      <c r="L115" s="28">
        <f>IF(A115="","",C115*'Menu Productos'!$F$5+D115*'Menu Productos'!$F$6+E115*'Menu Productos'!$F$7+F115*'Menu Productos'!$F$8+G115*'Menu Productos'!$F$9+H115*'Menu Productos'!$F$10+I115*'Menu Productos'!$F$11+J115*'Menu Productos'!$F$12)</f>
        <v>0</v>
      </c>
      <c r="M115" s="28">
        <f>IF(A115="","",C115*'Menu Productos'!$E$5+D115*'Menu Productos'!$E$6+E115*'Menu Productos'!$E$7+F115*'Menu Productos'!$E$8+G115*'Menu Productos'!$E$9+H115*'Menu Productos'!$E$10+I115*'Menu Productos'!$E$11+J115*'Menu Productos'!$E$12)</f>
        <v>0</v>
      </c>
      <c r="N115" s="29"/>
      <c r="O115" s="28">
        <f t="shared" si="7"/>
        <v>0</v>
      </c>
      <c r="P115" s="29"/>
      <c r="Q115" s="29"/>
      <c r="R115" s="29"/>
      <c r="S115" s="28">
        <f t="shared" si="8"/>
        <v>0</v>
      </c>
      <c r="T115" s="28">
        <f t="shared" si="9"/>
        <v>0</v>
      </c>
      <c r="U115" s="12"/>
      <c r="V115" s="12" t="str">
        <f ca="1">IF(A115&gt;TODAY(),"FUTURO",IF(AND(K115=0,N115=0,S115=0),"SIN MOVIMIENTO",IF(ABS(T115)&lt;='Metas y Control'!$B$6,"OK","REVISAR CAJA")))</f>
        <v>SIN MOVIMIENTO</v>
      </c>
    </row>
    <row r="116" spans="1:22" x14ac:dyDescent="0.3">
      <c r="A116" s="25">
        <f>IF(YEAR(A115+1)=Dashboard!$B$2,A115+1,"")</f>
        <v>46134</v>
      </c>
      <c r="B116" s="26" t="str">
        <f t="shared" si="5"/>
        <v>abril</v>
      </c>
      <c r="C116" s="24"/>
      <c r="D116" s="24"/>
      <c r="E116" s="24"/>
      <c r="F116" s="24"/>
      <c r="G116" s="24"/>
      <c r="H116" s="24"/>
      <c r="I116" s="24"/>
      <c r="J116" s="24"/>
      <c r="K116" s="27">
        <f t="shared" si="6"/>
        <v>0</v>
      </c>
      <c r="L116" s="28">
        <f>IF(A116="","",C116*'Menu Productos'!$F$5+D116*'Menu Productos'!$F$6+E116*'Menu Productos'!$F$7+F116*'Menu Productos'!$F$8+G116*'Menu Productos'!$F$9+H116*'Menu Productos'!$F$10+I116*'Menu Productos'!$F$11+J116*'Menu Productos'!$F$12)</f>
        <v>0</v>
      </c>
      <c r="M116" s="28">
        <f>IF(A116="","",C116*'Menu Productos'!$E$5+D116*'Menu Productos'!$E$6+E116*'Menu Productos'!$E$7+F116*'Menu Productos'!$E$8+G116*'Menu Productos'!$E$9+H116*'Menu Productos'!$E$10+I116*'Menu Productos'!$E$11+J116*'Menu Productos'!$E$12)</f>
        <v>0</v>
      </c>
      <c r="N116" s="29"/>
      <c r="O116" s="28">
        <f t="shared" si="7"/>
        <v>0</v>
      </c>
      <c r="P116" s="29"/>
      <c r="Q116" s="29"/>
      <c r="R116" s="29"/>
      <c r="S116" s="28">
        <f t="shared" si="8"/>
        <v>0</v>
      </c>
      <c r="T116" s="28">
        <f t="shared" si="9"/>
        <v>0</v>
      </c>
      <c r="U116" s="12"/>
      <c r="V116" s="12" t="str">
        <f ca="1">IF(A116&gt;TODAY(),"FUTURO",IF(AND(K116=0,N116=0,S116=0),"SIN MOVIMIENTO",IF(ABS(T116)&lt;='Metas y Control'!$B$6,"OK","REVISAR CAJA")))</f>
        <v>SIN MOVIMIENTO</v>
      </c>
    </row>
    <row r="117" spans="1:22" x14ac:dyDescent="0.3">
      <c r="A117" s="25">
        <f>IF(YEAR(A116+1)=Dashboard!$B$2,A116+1,"")</f>
        <v>46135</v>
      </c>
      <c r="B117" s="26" t="str">
        <f t="shared" si="5"/>
        <v>abril</v>
      </c>
      <c r="C117" s="24"/>
      <c r="D117" s="24"/>
      <c r="E117" s="24"/>
      <c r="F117" s="24"/>
      <c r="G117" s="24"/>
      <c r="H117" s="24"/>
      <c r="I117" s="24"/>
      <c r="J117" s="24"/>
      <c r="K117" s="27">
        <f t="shared" si="6"/>
        <v>0</v>
      </c>
      <c r="L117" s="28">
        <f>IF(A117="","",C117*'Menu Productos'!$F$5+D117*'Menu Productos'!$F$6+E117*'Menu Productos'!$F$7+F117*'Menu Productos'!$F$8+G117*'Menu Productos'!$F$9+H117*'Menu Productos'!$F$10+I117*'Menu Productos'!$F$11+J117*'Menu Productos'!$F$12)</f>
        <v>0</v>
      </c>
      <c r="M117" s="28">
        <f>IF(A117="","",C117*'Menu Productos'!$E$5+D117*'Menu Productos'!$E$6+E117*'Menu Productos'!$E$7+F117*'Menu Productos'!$E$8+G117*'Menu Productos'!$E$9+H117*'Menu Productos'!$E$10+I117*'Menu Productos'!$E$11+J117*'Menu Productos'!$E$12)</f>
        <v>0</v>
      </c>
      <c r="N117" s="29"/>
      <c r="O117" s="28">
        <f t="shared" si="7"/>
        <v>0</v>
      </c>
      <c r="P117" s="29"/>
      <c r="Q117" s="29"/>
      <c r="R117" s="29"/>
      <c r="S117" s="28">
        <f t="shared" si="8"/>
        <v>0</v>
      </c>
      <c r="T117" s="28">
        <f t="shared" si="9"/>
        <v>0</v>
      </c>
      <c r="U117" s="12"/>
      <c r="V117" s="12" t="str">
        <f ca="1">IF(A117&gt;TODAY(),"FUTURO",IF(AND(K117=0,N117=0,S117=0),"SIN MOVIMIENTO",IF(ABS(T117)&lt;='Metas y Control'!$B$6,"OK","REVISAR CAJA")))</f>
        <v>SIN MOVIMIENTO</v>
      </c>
    </row>
    <row r="118" spans="1:22" x14ac:dyDescent="0.3">
      <c r="A118" s="25">
        <f>IF(YEAR(A117+1)=Dashboard!$B$2,A117+1,"")</f>
        <v>46136</v>
      </c>
      <c r="B118" s="26" t="str">
        <f t="shared" si="5"/>
        <v>abril</v>
      </c>
      <c r="C118" s="24"/>
      <c r="D118" s="24"/>
      <c r="E118" s="24"/>
      <c r="F118" s="24"/>
      <c r="G118" s="24"/>
      <c r="H118" s="24"/>
      <c r="I118" s="24"/>
      <c r="J118" s="24"/>
      <c r="K118" s="27">
        <f t="shared" si="6"/>
        <v>0</v>
      </c>
      <c r="L118" s="28">
        <f>IF(A118="","",C118*'Menu Productos'!$F$5+D118*'Menu Productos'!$F$6+E118*'Menu Productos'!$F$7+F118*'Menu Productos'!$F$8+G118*'Menu Productos'!$F$9+H118*'Menu Productos'!$F$10+I118*'Menu Productos'!$F$11+J118*'Menu Productos'!$F$12)</f>
        <v>0</v>
      </c>
      <c r="M118" s="28">
        <f>IF(A118="","",C118*'Menu Productos'!$E$5+D118*'Menu Productos'!$E$6+E118*'Menu Productos'!$E$7+F118*'Menu Productos'!$E$8+G118*'Menu Productos'!$E$9+H118*'Menu Productos'!$E$10+I118*'Menu Productos'!$E$11+J118*'Menu Productos'!$E$12)</f>
        <v>0</v>
      </c>
      <c r="N118" s="29"/>
      <c r="O118" s="28">
        <f t="shared" si="7"/>
        <v>0</v>
      </c>
      <c r="P118" s="29"/>
      <c r="Q118" s="29"/>
      <c r="R118" s="29"/>
      <c r="S118" s="28">
        <f t="shared" si="8"/>
        <v>0</v>
      </c>
      <c r="T118" s="28">
        <f t="shared" si="9"/>
        <v>0</v>
      </c>
      <c r="U118" s="12"/>
      <c r="V118" s="12" t="str">
        <f ca="1">IF(A118&gt;TODAY(),"FUTURO",IF(AND(K118=0,N118=0,S118=0),"SIN MOVIMIENTO",IF(ABS(T118)&lt;='Metas y Control'!$B$6,"OK","REVISAR CAJA")))</f>
        <v>SIN MOVIMIENTO</v>
      </c>
    </row>
    <row r="119" spans="1:22" x14ac:dyDescent="0.3">
      <c r="A119" s="25">
        <f>IF(YEAR(A118+1)=Dashboard!$B$2,A118+1,"")</f>
        <v>46137</v>
      </c>
      <c r="B119" s="26" t="str">
        <f t="shared" si="5"/>
        <v>abril</v>
      </c>
      <c r="C119" s="24"/>
      <c r="D119" s="24"/>
      <c r="E119" s="24"/>
      <c r="F119" s="24"/>
      <c r="G119" s="24"/>
      <c r="H119" s="24"/>
      <c r="I119" s="24"/>
      <c r="J119" s="24"/>
      <c r="K119" s="27">
        <f t="shared" si="6"/>
        <v>0</v>
      </c>
      <c r="L119" s="28">
        <f>IF(A119="","",C119*'Menu Productos'!$F$5+D119*'Menu Productos'!$F$6+E119*'Menu Productos'!$F$7+F119*'Menu Productos'!$F$8+G119*'Menu Productos'!$F$9+H119*'Menu Productos'!$F$10+I119*'Menu Productos'!$F$11+J119*'Menu Productos'!$F$12)</f>
        <v>0</v>
      </c>
      <c r="M119" s="28">
        <f>IF(A119="","",C119*'Menu Productos'!$E$5+D119*'Menu Productos'!$E$6+E119*'Menu Productos'!$E$7+F119*'Menu Productos'!$E$8+G119*'Menu Productos'!$E$9+H119*'Menu Productos'!$E$10+I119*'Menu Productos'!$E$11+J119*'Menu Productos'!$E$12)</f>
        <v>0</v>
      </c>
      <c r="N119" s="29"/>
      <c r="O119" s="28">
        <f t="shared" si="7"/>
        <v>0</v>
      </c>
      <c r="P119" s="29"/>
      <c r="Q119" s="29"/>
      <c r="R119" s="29"/>
      <c r="S119" s="28">
        <f t="shared" si="8"/>
        <v>0</v>
      </c>
      <c r="T119" s="28">
        <f t="shared" si="9"/>
        <v>0</v>
      </c>
      <c r="U119" s="12"/>
      <c r="V119" s="12" t="str">
        <f ca="1">IF(A119&gt;TODAY(),"FUTURO",IF(AND(K119=0,N119=0,S119=0),"SIN MOVIMIENTO",IF(ABS(T119)&lt;='Metas y Control'!$B$6,"OK","REVISAR CAJA")))</f>
        <v>SIN MOVIMIENTO</v>
      </c>
    </row>
    <row r="120" spans="1:22" x14ac:dyDescent="0.3">
      <c r="A120" s="25">
        <f>IF(YEAR(A119+1)=Dashboard!$B$2,A119+1,"")</f>
        <v>46138</v>
      </c>
      <c r="B120" s="26" t="str">
        <f t="shared" si="5"/>
        <v>abril</v>
      </c>
      <c r="C120" s="24"/>
      <c r="D120" s="24"/>
      <c r="E120" s="24"/>
      <c r="F120" s="24"/>
      <c r="G120" s="24"/>
      <c r="H120" s="24"/>
      <c r="I120" s="24"/>
      <c r="J120" s="24"/>
      <c r="K120" s="27">
        <f t="shared" si="6"/>
        <v>0</v>
      </c>
      <c r="L120" s="28">
        <f>IF(A120="","",C120*'Menu Productos'!$F$5+D120*'Menu Productos'!$F$6+E120*'Menu Productos'!$F$7+F120*'Menu Productos'!$F$8+G120*'Menu Productos'!$F$9+H120*'Menu Productos'!$F$10+I120*'Menu Productos'!$F$11+J120*'Menu Productos'!$F$12)</f>
        <v>0</v>
      </c>
      <c r="M120" s="28">
        <f>IF(A120="","",C120*'Menu Productos'!$E$5+D120*'Menu Productos'!$E$6+E120*'Menu Productos'!$E$7+F120*'Menu Productos'!$E$8+G120*'Menu Productos'!$E$9+H120*'Menu Productos'!$E$10+I120*'Menu Productos'!$E$11+J120*'Menu Productos'!$E$12)</f>
        <v>0</v>
      </c>
      <c r="N120" s="29"/>
      <c r="O120" s="28">
        <f t="shared" si="7"/>
        <v>0</v>
      </c>
      <c r="P120" s="29"/>
      <c r="Q120" s="29"/>
      <c r="R120" s="29"/>
      <c r="S120" s="28">
        <f t="shared" si="8"/>
        <v>0</v>
      </c>
      <c r="T120" s="28">
        <f t="shared" si="9"/>
        <v>0</v>
      </c>
      <c r="U120" s="12"/>
      <c r="V120" s="12" t="str">
        <f ca="1">IF(A120&gt;TODAY(),"FUTURO",IF(AND(K120=0,N120=0,S120=0),"SIN MOVIMIENTO",IF(ABS(T120)&lt;='Metas y Control'!$B$6,"OK","REVISAR CAJA")))</f>
        <v>SIN MOVIMIENTO</v>
      </c>
    </row>
    <row r="121" spans="1:22" x14ac:dyDescent="0.3">
      <c r="A121" s="25">
        <f>IF(YEAR(A120+1)=Dashboard!$B$2,A120+1,"")</f>
        <v>46139</v>
      </c>
      <c r="B121" s="26" t="str">
        <f t="shared" si="5"/>
        <v>abril</v>
      </c>
      <c r="C121" s="24"/>
      <c r="D121" s="24"/>
      <c r="E121" s="24"/>
      <c r="F121" s="24"/>
      <c r="G121" s="24"/>
      <c r="H121" s="24"/>
      <c r="I121" s="24"/>
      <c r="J121" s="24"/>
      <c r="K121" s="27">
        <f t="shared" si="6"/>
        <v>0</v>
      </c>
      <c r="L121" s="28">
        <f>IF(A121="","",C121*'Menu Productos'!$F$5+D121*'Menu Productos'!$F$6+E121*'Menu Productos'!$F$7+F121*'Menu Productos'!$F$8+G121*'Menu Productos'!$F$9+H121*'Menu Productos'!$F$10+I121*'Menu Productos'!$F$11+J121*'Menu Productos'!$F$12)</f>
        <v>0</v>
      </c>
      <c r="M121" s="28">
        <f>IF(A121="","",C121*'Menu Productos'!$E$5+D121*'Menu Productos'!$E$6+E121*'Menu Productos'!$E$7+F121*'Menu Productos'!$E$8+G121*'Menu Productos'!$E$9+H121*'Menu Productos'!$E$10+I121*'Menu Productos'!$E$11+J121*'Menu Productos'!$E$12)</f>
        <v>0</v>
      </c>
      <c r="N121" s="29"/>
      <c r="O121" s="28">
        <f t="shared" si="7"/>
        <v>0</v>
      </c>
      <c r="P121" s="29"/>
      <c r="Q121" s="29"/>
      <c r="R121" s="29"/>
      <c r="S121" s="28">
        <f t="shared" si="8"/>
        <v>0</v>
      </c>
      <c r="T121" s="28">
        <f t="shared" si="9"/>
        <v>0</v>
      </c>
      <c r="U121" s="12"/>
      <c r="V121" s="12" t="str">
        <f ca="1">IF(A121&gt;TODAY(),"FUTURO",IF(AND(K121=0,N121=0,S121=0),"SIN MOVIMIENTO",IF(ABS(T121)&lt;='Metas y Control'!$B$6,"OK","REVISAR CAJA")))</f>
        <v>SIN MOVIMIENTO</v>
      </c>
    </row>
    <row r="122" spans="1:22" x14ac:dyDescent="0.3">
      <c r="A122" s="25">
        <f>IF(YEAR(A121+1)=Dashboard!$B$2,A121+1,"")</f>
        <v>46140</v>
      </c>
      <c r="B122" s="26" t="str">
        <f t="shared" si="5"/>
        <v>abril</v>
      </c>
      <c r="C122" s="24"/>
      <c r="D122" s="24"/>
      <c r="E122" s="24"/>
      <c r="F122" s="24"/>
      <c r="G122" s="24"/>
      <c r="H122" s="24"/>
      <c r="I122" s="24"/>
      <c r="J122" s="24"/>
      <c r="K122" s="27">
        <f t="shared" si="6"/>
        <v>0</v>
      </c>
      <c r="L122" s="28">
        <f>IF(A122="","",C122*'Menu Productos'!$F$5+D122*'Menu Productos'!$F$6+E122*'Menu Productos'!$F$7+F122*'Menu Productos'!$F$8+G122*'Menu Productos'!$F$9+H122*'Menu Productos'!$F$10+I122*'Menu Productos'!$F$11+J122*'Menu Productos'!$F$12)</f>
        <v>0</v>
      </c>
      <c r="M122" s="28">
        <f>IF(A122="","",C122*'Menu Productos'!$E$5+D122*'Menu Productos'!$E$6+E122*'Menu Productos'!$E$7+F122*'Menu Productos'!$E$8+G122*'Menu Productos'!$E$9+H122*'Menu Productos'!$E$10+I122*'Menu Productos'!$E$11+J122*'Menu Productos'!$E$12)</f>
        <v>0</v>
      </c>
      <c r="N122" s="29"/>
      <c r="O122" s="28">
        <f t="shared" si="7"/>
        <v>0</v>
      </c>
      <c r="P122" s="29"/>
      <c r="Q122" s="29"/>
      <c r="R122" s="29"/>
      <c r="S122" s="28">
        <f t="shared" si="8"/>
        <v>0</v>
      </c>
      <c r="T122" s="28">
        <f t="shared" si="9"/>
        <v>0</v>
      </c>
      <c r="U122" s="12"/>
      <c r="V122" s="12" t="str">
        <f ca="1">IF(A122&gt;TODAY(),"FUTURO",IF(AND(K122=0,N122=0,S122=0),"SIN MOVIMIENTO",IF(ABS(T122)&lt;='Metas y Control'!$B$6,"OK","REVISAR CAJA")))</f>
        <v>SIN MOVIMIENTO</v>
      </c>
    </row>
    <row r="123" spans="1:22" x14ac:dyDescent="0.3">
      <c r="A123" s="25">
        <f>IF(YEAR(A122+1)=Dashboard!$B$2,A122+1,"")</f>
        <v>46141</v>
      </c>
      <c r="B123" s="26" t="str">
        <f t="shared" si="5"/>
        <v>abril</v>
      </c>
      <c r="C123" s="24"/>
      <c r="D123" s="24"/>
      <c r="E123" s="24"/>
      <c r="F123" s="24"/>
      <c r="G123" s="24"/>
      <c r="H123" s="24"/>
      <c r="I123" s="24"/>
      <c r="J123" s="24"/>
      <c r="K123" s="27">
        <f t="shared" si="6"/>
        <v>0</v>
      </c>
      <c r="L123" s="28">
        <f>IF(A123="","",C123*'Menu Productos'!$F$5+D123*'Menu Productos'!$F$6+E123*'Menu Productos'!$F$7+F123*'Menu Productos'!$F$8+G123*'Menu Productos'!$F$9+H123*'Menu Productos'!$F$10+I123*'Menu Productos'!$F$11+J123*'Menu Productos'!$F$12)</f>
        <v>0</v>
      </c>
      <c r="M123" s="28">
        <f>IF(A123="","",C123*'Menu Productos'!$E$5+D123*'Menu Productos'!$E$6+E123*'Menu Productos'!$E$7+F123*'Menu Productos'!$E$8+G123*'Menu Productos'!$E$9+H123*'Menu Productos'!$E$10+I123*'Menu Productos'!$E$11+J123*'Menu Productos'!$E$12)</f>
        <v>0</v>
      </c>
      <c r="N123" s="29"/>
      <c r="O123" s="28">
        <f t="shared" si="7"/>
        <v>0</v>
      </c>
      <c r="P123" s="29"/>
      <c r="Q123" s="29"/>
      <c r="R123" s="29"/>
      <c r="S123" s="28">
        <f t="shared" si="8"/>
        <v>0</v>
      </c>
      <c r="T123" s="28">
        <f t="shared" si="9"/>
        <v>0</v>
      </c>
      <c r="U123" s="12"/>
      <c r="V123" s="12" t="str">
        <f ca="1">IF(A123&gt;TODAY(),"FUTURO",IF(AND(K123=0,N123=0,S123=0),"SIN MOVIMIENTO",IF(ABS(T123)&lt;='Metas y Control'!$B$6,"OK","REVISAR CAJA")))</f>
        <v>SIN MOVIMIENTO</v>
      </c>
    </row>
    <row r="124" spans="1:22" x14ac:dyDescent="0.3">
      <c r="A124" s="25">
        <f>IF(YEAR(A123+1)=Dashboard!$B$2,A123+1,"")</f>
        <v>46142</v>
      </c>
      <c r="B124" s="26" t="str">
        <f t="shared" si="5"/>
        <v>abril</v>
      </c>
      <c r="C124" s="24"/>
      <c r="D124" s="24"/>
      <c r="E124" s="24"/>
      <c r="F124" s="24"/>
      <c r="G124" s="24"/>
      <c r="H124" s="24"/>
      <c r="I124" s="24"/>
      <c r="J124" s="24"/>
      <c r="K124" s="27">
        <f t="shared" si="6"/>
        <v>0</v>
      </c>
      <c r="L124" s="28">
        <f>IF(A124="","",C124*'Menu Productos'!$F$5+D124*'Menu Productos'!$F$6+E124*'Menu Productos'!$F$7+F124*'Menu Productos'!$F$8+G124*'Menu Productos'!$F$9+H124*'Menu Productos'!$F$10+I124*'Menu Productos'!$F$11+J124*'Menu Productos'!$F$12)</f>
        <v>0</v>
      </c>
      <c r="M124" s="28">
        <f>IF(A124="","",C124*'Menu Productos'!$E$5+D124*'Menu Productos'!$E$6+E124*'Menu Productos'!$E$7+F124*'Menu Productos'!$E$8+G124*'Menu Productos'!$E$9+H124*'Menu Productos'!$E$10+I124*'Menu Productos'!$E$11+J124*'Menu Productos'!$E$12)</f>
        <v>0</v>
      </c>
      <c r="N124" s="29"/>
      <c r="O124" s="28">
        <f t="shared" si="7"/>
        <v>0</v>
      </c>
      <c r="P124" s="29"/>
      <c r="Q124" s="29"/>
      <c r="R124" s="29"/>
      <c r="S124" s="28">
        <f t="shared" si="8"/>
        <v>0</v>
      </c>
      <c r="T124" s="28">
        <f t="shared" si="9"/>
        <v>0</v>
      </c>
      <c r="U124" s="12"/>
      <c r="V124" s="12" t="str">
        <f ca="1">IF(A124&gt;TODAY(),"FUTURO",IF(AND(K124=0,N124=0,S124=0),"SIN MOVIMIENTO",IF(ABS(T124)&lt;='Metas y Control'!$B$6,"OK","REVISAR CAJA")))</f>
        <v>SIN MOVIMIENTO</v>
      </c>
    </row>
    <row r="125" spans="1:22" x14ac:dyDescent="0.3">
      <c r="A125" s="25">
        <f>IF(YEAR(A124+1)=Dashboard!$B$2,A124+1,"")</f>
        <v>46143</v>
      </c>
      <c r="B125" s="26" t="str">
        <f t="shared" si="5"/>
        <v>mayo</v>
      </c>
      <c r="C125" s="24"/>
      <c r="D125" s="24"/>
      <c r="E125" s="24"/>
      <c r="F125" s="24"/>
      <c r="G125" s="24"/>
      <c r="H125" s="24"/>
      <c r="I125" s="24"/>
      <c r="J125" s="24"/>
      <c r="K125" s="27">
        <f t="shared" si="6"/>
        <v>0</v>
      </c>
      <c r="L125" s="28">
        <f>IF(A125="","",C125*'Menu Productos'!$F$5+D125*'Menu Productos'!$F$6+E125*'Menu Productos'!$F$7+F125*'Menu Productos'!$F$8+G125*'Menu Productos'!$F$9+H125*'Menu Productos'!$F$10+I125*'Menu Productos'!$F$11+J125*'Menu Productos'!$F$12)</f>
        <v>0</v>
      </c>
      <c r="M125" s="28">
        <f>IF(A125="","",C125*'Menu Productos'!$E$5+D125*'Menu Productos'!$E$6+E125*'Menu Productos'!$E$7+F125*'Menu Productos'!$E$8+G125*'Menu Productos'!$E$9+H125*'Menu Productos'!$E$10+I125*'Menu Productos'!$E$11+J125*'Menu Productos'!$E$12)</f>
        <v>0</v>
      </c>
      <c r="N125" s="29"/>
      <c r="O125" s="28">
        <f t="shared" si="7"/>
        <v>0</v>
      </c>
      <c r="P125" s="29"/>
      <c r="Q125" s="29"/>
      <c r="R125" s="29"/>
      <c r="S125" s="28">
        <f t="shared" si="8"/>
        <v>0</v>
      </c>
      <c r="T125" s="28">
        <f t="shared" si="9"/>
        <v>0</v>
      </c>
      <c r="U125" s="12"/>
      <c r="V125" s="12" t="str">
        <f ca="1">IF(A125&gt;TODAY(),"FUTURO",IF(AND(K125=0,N125=0,S125=0),"SIN MOVIMIENTO",IF(ABS(T125)&lt;='Metas y Control'!$B$6,"OK","REVISAR CAJA")))</f>
        <v>SIN MOVIMIENTO</v>
      </c>
    </row>
    <row r="126" spans="1:22" x14ac:dyDescent="0.3">
      <c r="A126" s="25">
        <f>IF(YEAR(A125+1)=Dashboard!$B$2,A125+1,"")</f>
        <v>46144</v>
      </c>
      <c r="B126" s="26" t="str">
        <f t="shared" si="5"/>
        <v>mayo</v>
      </c>
      <c r="C126" s="24"/>
      <c r="D126" s="24"/>
      <c r="E126" s="24"/>
      <c r="F126" s="24"/>
      <c r="G126" s="24"/>
      <c r="H126" s="24"/>
      <c r="I126" s="24"/>
      <c r="J126" s="24"/>
      <c r="K126" s="27">
        <f t="shared" si="6"/>
        <v>0</v>
      </c>
      <c r="L126" s="28">
        <f>IF(A126="","",C126*'Menu Productos'!$F$5+D126*'Menu Productos'!$F$6+E126*'Menu Productos'!$F$7+F126*'Menu Productos'!$F$8+G126*'Menu Productos'!$F$9+H126*'Menu Productos'!$F$10+I126*'Menu Productos'!$F$11+J126*'Menu Productos'!$F$12)</f>
        <v>0</v>
      </c>
      <c r="M126" s="28">
        <f>IF(A126="","",C126*'Menu Productos'!$E$5+D126*'Menu Productos'!$E$6+E126*'Menu Productos'!$E$7+F126*'Menu Productos'!$E$8+G126*'Menu Productos'!$E$9+H126*'Menu Productos'!$E$10+I126*'Menu Productos'!$E$11+J126*'Menu Productos'!$E$12)</f>
        <v>0</v>
      </c>
      <c r="N126" s="29"/>
      <c r="O126" s="28">
        <f t="shared" si="7"/>
        <v>0</v>
      </c>
      <c r="P126" s="29"/>
      <c r="Q126" s="29"/>
      <c r="R126" s="29"/>
      <c r="S126" s="28">
        <f t="shared" si="8"/>
        <v>0</v>
      </c>
      <c r="T126" s="28">
        <f t="shared" si="9"/>
        <v>0</v>
      </c>
      <c r="U126" s="12"/>
      <c r="V126" s="12" t="str">
        <f ca="1">IF(A126&gt;TODAY(),"FUTURO",IF(AND(K126=0,N126=0,S126=0),"SIN MOVIMIENTO",IF(ABS(T126)&lt;='Metas y Control'!$B$6,"OK","REVISAR CAJA")))</f>
        <v>SIN MOVIMIENTO</v>
      </c>
    </row>
    <row r="127" spans="1:22" x14ac:dyDescent="0.3">
      <c r="A127" s="25">
        <f>IF(YEAR(A126+1)=Dashboard!$B$2,A126+1,"")</f>
        <v>46145</v>
      </c>
      <c r="B127" s="26" t="str">
        <f t="shared" si="5"/>
        <v>mayo</v>
      </c>
      <c r="C127" s="24"/>
      <c r="D127" s="24"/>
      <c r="E127" s="24"/>
      <c r="F127" s="24"/>
      <c r="G127" s="24"/>
      <c r="H127" s="24"/>
      <c r="I127" s="24"/>
      <c r="J127" s="24"/>
      <c r="K127" s="27">
        <f t="shared" si="6"/>
        <v>0</v>
      </c>
      <c r="L127" s="28">
        <f>IF(A127="","",C127*'Menu Productos'!$F$5+D127*'Menu Productos'!$F$6+E127*'Menu Productos'!$F$7+F127*'Menu Productos'!$F$8+G127*'Menu Productos'!$F$9+H127*'Menu Productos'!$F$10+I127*'Menu Productos'!$F$11+J127*'Menu Productos'!$F$12)</f>
        <v>0</v>
      </c>
      <c r="M127" s="28">
        <f>IF(A127="","",C127*'Menu Productos'!$E$5+D127*'Menu Productos'!$E$6+E127*'Menu Productos'!$E$7+F127*'Menu Productos'!$E$8+G127*'Menu Productos'!$E$9+H127*'Menu Productos'!$E$10+I127*'Menu Productos'!$E$11+J127*'Menu Productos'!$E$12)</f>
        <v>0</v>
      </c>
      <c r="N127" s="29"/>
      <c r="O127" s="28">
        <f t="shared" si="7"/>
        <v>0</v>
      </c>
      <c r="P127" s="29"/>
      <c r="Q127" s="29"/>
      <c r="R127" s="29"/>
      <c r="S127" s="28">
        <f t="shared" si="8"/>
        <v>0</v>
      </c>
      <c r="T127" s="28">
        <f t="shared" si="9"/>
        <v>0</v>
      </c>
      <c r="U127" s="12"/>
      <c r="V127" s="12" t="str">
        <f ca="1">IF(A127&gt;TODAY(),"FUTURO",IF(AND(K127=0,N127=0,S127=0),"SIN MOVIMIENTO",IF(ABS(T127)&lt;='Metas y Control'!$B$6,"OK","REVISAR CAJA")))</f>
        <v>SIN MOVIMIENTO</v>
      </c>
    </row>
    <row r="128" spans="1:22" x14ac:dyDescent="0.3">
      <c r="A128" s="25">
        <f>IF(YEAR(A127+1)=Dashboard!$B$2,A127+1,"")</f>
        <v>46146</v>
      </c>
      <c r="B128" s="26" t="str">
        <f t="shared" si="5"/>
        <v>mayo</v>
      </c>
      <c r="C128" s="24"/>
      <c r="D128" s="24"/>
      <c r="E128" s="24"/>
      <c r="F128" s="24"/>
      <c r="G128" s="24"/>
      <c r="H128" s="24"/>
      <c r="I128" s="24"/>
      <c r="J128" s="24"/>
      <c r="K128" s="27">
        <f t="shared" si="6"/>
        <v>0</v>
      </c>
      <c r="L128" s="28">
        <f>IF(A128="","",C128*'Menu Productos'!$F$5+D128*'Menu Productos'!$F$6+E128*'Menu Productos'!$F$7+F128*'Menu Productos'!$F$8+G128*'Menu Productos'!$F$9+H128*'Menu Productos'!$F$10+I128*'Menu Productos'!$F$11+J128*'Menu Productos'!$F$12)</f>
        <v>0</v>
      </c>
      <c r="M128" s="28">
        <f>IF(A128="","",C128*'Menu Productos'!$E$5+D128*'Menu Productos'!$E$6+E128*'Menu Productos'!$E$7+F128*'Menu Productos'!$E$8+G128*'Menu Productos'!$E$9+H128*'Menu Productos'!$E$10+I128*'Menu Productos'!$E$11+J128*'Menu Productos'!$E$12)</f>
        <v>0</v>
      </c>
      <c r="N128" s="29"/>
      <c r="O128" s="28">
        <f t="shared" si="7"/>
        <v>0</v>
      </c>
      <c r="P128" s="29"/>
      <c r="Q128" s="29"/>
      <c r="R128" s="29"/>
      <c r="S128" s="28">
        <f t="shared" si="8"/>
        <v>0</v>
      </c>
      <c r="T128" s="28">
        <f t="shared" si="9"/>
        <v>0</v>
      </c>
      <c r="U128" s="12"/>
      <c r="V128" s="12" t="str">
        <f ca="1">IF(A128&gt;TODAY(),"FUTURO",IF(AND(K128=0,N128=0,S128=0),"SIN MOVIMIENTO",IF(ABS(T128)&lt;='Metas y Control'!$B$6,"OK","REVISAR CAJA")))</f>
        <v>SIN MOVIMIENTO</v>
      </c>
    </row>
    <row r="129" spans="1:22" x14ac:dyDescent="0.3">
      <c r="A129" s="25">
        <f>IF(YEAR(A128+1)=Dashboard!$B$2,A128+1,"")</f>
        <v>46147</v>
      </c>
      <c r="B129" s="26" t="str">
        <f t="shared" si="5"/>
        <v>mayo</v>
      </c>
      <c r="C129" s="24"/>
      <c r="D129" s="24"/>
      <c r="E129" s="24"/>
      <c r="F129" s="24"/>
      <c r="G129" s="24"/>
      <c r="H129" s="24"/>
      <c r="I129" s="24"/>
      <c r="J129" s="24"/>
      <c r="K129" s="27">
        <f t="shared" si="6"/>
        <v>0</v>
      </c>
      <c r="L129" s="28">
        <f>IF(A129="","",C129*'Menu Productos'!$F$5+D129*'Menu Productos'!$F$6+E129*'Menu Productos'!$F$7+F129*'Menu Productos'!$F$8+G129*'Menu Productos'!$F$9+H129*'Menu Productos'!$F$10+I129*'Menu Productos'!$F$11+J129*'Menu Productos'!$F$12)</f>
        <v>0</v>
      </c>
      <c r="M129" s="28">
        <f>IF(A129="","",C129*'Menu Productos'!$E$5+D129*'Menu Productos'!$E$6+E129*'Menu Productos'!$E$7+F129*'Menu Productos'!$E$8+G129*'Menu Productos'!$E$9+H129*'Menu Productos'!$E$10+I129*'Menu Productos'!$E$11+J129*'Menu Productos'!$E$12)</f>
        <v>0</v>
      </c>
      <c r="N129" s="29"/>
      <c r="O129" s="28">
        <f t="shared" si="7"/>
        <v>0</v>
      </c>
      <c r="P129" s="29"/>
      <c r="Q129" s="29"/>
      <c r="R129" s="29"/>
      <c r="S129" s="28">
        <f t="shared" si="8"/>
        <v>0</v>
      </c>
      <c r="T129" s="28">
        <f t="shared" si="9"/>
        <v>0</v>
      </c>
      <c r="U129" s="12"/>
      <c r="V129" s="12" t="str">
        <f ca="1">IF(A129&gt;TODAY(),"FUTURO",IF(AND(K129=0,N129=0,S129=0),"SIN MOVIMIENTO",IF(ABS(T129)&lt;='Metas y Control'!$B$6,"OK","REVISAR CAJA")))</f>
        <v>SIN MOVIMIENTO</v>
      </c>
    </row>
    <row r="130" spans="1:22" x14ac:dyDescent="0.3">
      <c r="A130" s="25">
        <f>IF(YEAR(A129+1)=Dashboard!$B$2,A129+1,"")</f>
        <v>46148</v>
      </c>
      <c r="B130" s="26" t="str">
        <f t="shared" si="5"/>
        <v>mayo</v>
      </c>
      <c r="C130" s="24"/>
      <c r="D130" s="24"/>
      <c r="E130" s="24"/>
      <c r="F130" s="24"/>
      <c r="G130" s="24"/>
      <c r="H130" s="24"/>
      <c r="I130" s="24"/>
      <c r="J130" s="24"/>
      <c r="K130" s="27">
        <f t="shared" si="6"/>
        <v>0</v>
      </c>
      <c r="L130" s="28">
        <f>IF(A130="","",C130*'Menu Productos'!$F$5+D130*'Menu Productos'!$F$6+E130*'Menu Productos'!$F$7+F130*'Menu Productos'!$F$8+G130*'Menu Productos'!$F$9+H130*'Menu Productos'!$F$10+I130*'Menu Productos'!$F$11+J130*'Menu Productos'!$F$12)</f>
        <v>0</v>
      </c>
      <c r="M130" s="28">
        <f>IF(A130="","",C130*'Menu Productos'!$E$5+D130*'Menu Productos'!$E$6+E130*'Menu Productos'!$E$7+F130*'Menu Productos'!$E$8+G130*'Menu Productos'!$E$9+H130*'Menu Productos'!$E$10+I130*'Menu Productos'!$E$11+J130*'Menu Productos'!$E$12)</f>
        <v>0</v>
      </c>
      <c r="N130" s="29"/>
      <c r="O130" s="28">
        <f t="shared" si="7"/>
        <v>0</v>
      </c>
      <c r="P130" s="29"/>
      <c r="Q130" s="29"/>
      <c r="R130" s="29"/>
      <c r="S130" s="28">
        <f t="shared" si="8"/>
        <v>0</v>
      </c>
      <c r="T130" s="28">
        <f t="shared" si="9"/>
        <v>0</v>
      </c>
      <c r="U130" s="12"/>
      <c r="V130" s="12" t="str">
        <f ca="1">IF(A130&gt;TODAY(),"FUTURO",IF(AND(K130=0,N130=0,S130=0),"SIN MOVIMIENTO",IF(ABS(T130)&lt;='Metas y Control'!$B$6,"OK","REVISAR CAJA")))</f>
        <v>SIN MOVIMIENTO</v>
      </c>
    </row>
    <row r="131" spans="1:22" x14ac:dyDescent="0.3">
      <c r="A131" s="25">
        <f>IF(YEAR(A130+1)=Dashboard!$B$2,A130+1,"")</f>
        <v>46149</v>
      </c>
      <c r="B131" s="26" t="str">
        <f t="shared" si="5"/>
        <v>mayo</v>
      </c>
      <c r="C131" s="24"/>
      <c r="D131" s="24"/>
      <c r="E131" s="24"/>
      <c r="F131" s="24"/>
      <c r="G131" s="24"/>
      <c r="H131" s="24"/>
      <c r="I131" s="24"/>
      <c r="J131" s="24"/>
      <c r="K131" s="27">
        <f t="shared" si="6"/>
        <v>0</v>
      </c>
      <c r="L131" s="28">
        <f>IF(A131="","",C131*'Menu Productos'!$F$5+D131*'Menu Productos'!$F$6+E131*'Menu Productos'!$F$7+F131*'Menu Productos'!$F$8+G131*'Menu Productos'!$F$9+H131*'Menu Productos'!$F$10+I131*'Menu Productos'!$F$11+J131*'Menu Productos'!$F$12)</f>
        <v>0</v>
      </c>
      <c r="M131" s="28">
        <f>IF(A131="","",C131*'Menu Productos'!$E$5+D131*'Menu Productos'!$E$6+E131*'Menu Productos'!$E$7+F131*'Menu Productos'!$E$8+G131*'Menu Productos'!$E$9+H131*'Menu Productos'!$E$10+I131*'Menu Productos'!$E$11+J131*'Menu Productos'!$E$12)</f>
        <v>0</v>
      </c>
      <c r="N131" s="29"/>
      <c r="O131" s="28">
        <f t="shared" si="7"/>
        <v>0</v>
      </c>
      <c r="P131" s="29"/>
      <c r="Q131" s="29"/>
      <c r="R131" s="29"/>
      <c r="S131" s="28">
        <f t="shared" si="8"/>
        <v>0</v>
      </c>
      <c r="T131" s="28">
        <f t="shared" si="9"/>
        <v>0</v>
      </c>
      <c r="U131" s="12"/>
      <c r="V131" s="12" t="str">
        <f ca="1">IF(A131&gt;TODAY(),"FUTURO",IF(AND(K131=0,N131=0,S131=0),"SIN MOVIMIENTO",IF(ABS(T131)&lt;='Metas y Control'!$B$6,"OK","REVISAR CAJA")))</f>
        <v>SIN MOVIMIENTO</v>
      </c>
    </row>
    <row r="132" spans="1:22" x14ac:dyDescent="0.3">
      <c r="A132" s="25">
        <f>IF(YEAR(A131+1)=Dashboard!$B$2,A131+1,"")</f>
        <v>46150</v>
      </c>
      <c r="B132" s="26" t="str">
        <f t="shared" si="5"/>
        <v>mayo</v>
      </c>
      <c r="C132" s="24"/>
      <c r="D132" s="24"/>
      <c r="E132" s="24"/>
      <c r="F132" s="24"/>
      <c r="G132" s="24"/>
      <c r="H132" s="24"/>
      <c r="I132" s="24"/>
      <c r="J132" s="24"/>
      <c r="K132" s="27">
        <f t="shared" si="6"/>
        <v>0</v>
      </c>
      <c r="L132" s="28">
        <f>IF(A132="","",C132*'Menu Productos'!$F$5+D132*'Menu Productos'!$F$6+E132*'Menu Productos'!$F$7+F132*'Menu Productos'!$F$8+G132*'Menu Productos'!$F$9+H132*'Menu Productos'!$F$10+I132*'Menu Productos'!$F$11+J132*'Menu Productos'!$F$12)</f>
        <v>0</v>
      </c>
      <c r="M132" s="28">
        <f>IF(A132="","",C132*'Menu Productos'!$E$5+D132*'Menu Productos'!$E$6+E132*'Menu Productos'!$E$7+F132*'Menu Productos'!$E$8+G132*'Menu Productos'!$E$9+H132*'Menu Productos'!$E$10+I132*'Menu Productos'!$E$11+J132*'Menu Productos'!$E$12)</f>
        <v>0</v>
      </c>
      <c r="N132" s="29"/>
      <c r="O132" s="28">
        <f t="shared" si="7"/>
        <v>0</v>
      </c>
      <c r="P132" s="29"/>
      <c r="Q132" s="29"/>
      <c r="R132" s="29"/>
      <c r="S132" s="28">
        <f t="shared" si="8"/>
        <v>0</v>
      </c>
      <c r="T132" s="28">
        <f t="shared" si="9"/>
        <v>0</v>
      </c>
      <c r="U132" s="12"/>
      <c r="V132" s="12" t="str">
        <f ca="1">IF(A132&gt;TODAY(),"FUTURO",IF(AND(K132=0,N132=0,S132=0),"SIN MOVIMIENTO",IF(ABS(T132)&lt;='Metas y Control'!$B$6,"OK","REVISAR CAJA")))</f>
        <v>SIN MOVIMIENTO</v>
      </c>
    </row>
    <row r="133" spans="1:22" x14ac:dyDescent="0.3">
      <c r="A133" s="25">
        <f>IF(YEAR(A132+1)=Dashboard!$B$2,A132+1,"")</f>
        <v>46151</v>
      </c>
      <c r="B133" s="26" t="str">
        <f t="shared" si="5"/>
        <v>mayo</v>
      </c>
      <c r="C133" s="24"/>
      <c r="D133" s="24"/>
      <c r="E133" s="24"/>
      <c r="F133" s="24"/>
      <c r="G133" s="24"/>
      <c r="H133" s="24"/>
      <c r="I133" s="24"/>
      <c r="J133" s="24"/>
      <c r="K133" s="27">
        <f t="shared" si="6"/>
        <v>0</v>
      </c>
      <c r="L133" s="28">
        <f>IF(A133="","",C133*'Menu Productos'!$F$5+D133*'Menu Productos'!$F$6+E133*'Menu Productos'!$F$7+F133*'Menu Productos'!$F$8+G133*'Menu Productos'!$F$9+H133*'Menu Productos'!$F$10+I133*'Menu Productos'!$F$11+J133*'Menu Productos'!$F$12)</f>
        <v>0</v>
      </c>
      <c r="M133" s="28">
        <f>IF(A133="","",C133*'Menu Productos'!$E$5+D133*'Menu Productos'!$E$6+E133*'Menu Productos'!$E$7+F133*'Menu Productos'!$E$8+G133*'Menu Productos'!$E$9+H133*'Menu Productos'!$E$10+I133*'Menu Productos'!$E$11+J133*'Menu Productos'!$E$12)</f>
        <v>0</v>
      </c>
      <c r="N133" s="29"/>
      <c r="O133" s="28">
        <f t="shared" si="7"/>
        <v>0</v>
      </c>
      <c r="P133" s="29"/>
      <c r="Q133" s="29"/>
      <c r="R133" s="29"/>
      <c r="S133" s="28">
        <f t="shared" si="8"/>
        <v>0</v>
      </c>
      <c r="T133" s="28">
        <f t="shared" si="9"/>
        <v>0</v>
      </c>
      <c r="U133" s="12"/>
      <c r="V133" s="12" t="str">
        <f ca="1">IF(A133&gt;TODAY(),"FUTURO",IF(AND(K133=0,N133=0,S133=0),"SIN MOVIMIENTO",IF(ABS(T133)&lt;='Metas y Control'!$B$6,"OK","REVISAR CAJA")))</f>
        <v>SIN MOVIMIENTO</v>
      </c>
    </row>
    <row r="134" spans="1:22" x14ac:dyDescent="0.3">
      <c r="A134" s="25">
        <f>IF(YEAR(A133+1)=Dashboard!$B$2,A133+1,"")</f>
        <v>46152</v>
      </c>
      <c r="B134" s="26" t="str">
        <f t="shared" ref="B134:B197" si="10">IF(A134="","",TEXT(A134,"mmmm"))</f>
        <v>mayo</v>
      </c>
      <c r="C134" s="24"/>
      <c r="D134" s="24"/>
      <c r="E134" s="24"/>
      <c r="F134" s="24"/>
      <c r="G134" s="24"/>
      <c r="H134" s="24"/>
      <c r="I134" s="24"/>
      <c r="J134" s="24"/>
      <c r="K134" s="27">
        <f t="shared" ref="K134:K197" si="11">IF(A134="","",SUM(C134:J134))</f>
        <v>0</v>
      </c>
      <c r="L134" s="28">
        <f>IF(A134="","",C134*'Menu Productos'!$F$5+D134*'Menu Productos'!$F$6+E134*'Menu Productos'!$F$7+F134*'Menu Productos'!$F$8+G134*'Menu Productos'!$F$9+H134*'Menu Productos'!$F$10+I134*'Menu Productos'!$F$11+J134*'Menu Productos'!$F$12)</f>
        <v>0</v>
      </c>
      <c r="M134" s="28">
        <f>IF(A134="","",C134*'Menu Productos'!$E$5+D134*'Menu Productos'!$E$6+E134*'Menu Productos'!$E$7+F134*'Menu Productos'!$E$8+G134*'Menu Productos'!$E$9+H134*'Menu Productos'!$E$10+I134*'Menu Productos'!$E$11+J134*'Menu Productos'!$E$12)</f>
        <v>0</v>
      </c>
      <c r="N134" s="29"/>
      <c r="O134" s="28">
        <f t="shared" ref="O134:O197" si="12">IF(A134="","",L134-M134-N134)</f>
        <v>0</v>
      </c>
      <c r="P134" s="29"/>
      <c r="Q134" s="29"/>
      <c r="R134" s="29"/>
      <c r="S134" s="28">
        <f t="shared" ref="S134:S197" si="13">IF(A134="","",SUM(P134:R134))</f>
        <v>0</v>
      </c>
      <c r="T134" s="28">
        <f t="shared" ref="T134:T197" si="14">IF(A134="","",S134-(L134-N134))</f>
        <v>0</v>
      </c>
      <c r="U134" s="12"/>
      <c r="V134" s="12" t="str">
        <f ca="1">IF(A134&gt;TODAY(),"FUTURO",IF(AND(K134=0,N134=0,S134=0),"SIN MOVIMIENTO",IF(ABS(T134)&lt;='Metas y Control'!$B$6,"OK","REVISAR CAJA")))</f>
        <v>SIN MOVIMIENTO</v>
      </c>
    </row>
    <row r="135" spans="1:22" x14ac:dyDescent="0.3">
      <c r="A135" s="25">
        <f>IF(YEAR(A134+1)=Dashboard!$B$2,A134+1,"")</f>
        <v>46153</v>
      </c>
      <c r="B135" s="26" t="str">
        <f t="shared" si="10"/>
        <v>mayo</v>
      </c>
      <c r="C135" s="24"/>
      <c r="D135" s="24"/>
      <c r="E135" s="24"/>
      <c r="F135" s="24"/>
      <c r="G135" s="24"/>
      <c r="H135" s="24"/>
      <c r="I135" s="24"/>
      <c r="J135" s="24"/>
      <c r="K135" s="27">
        <f t="shared" si="11"/>
        <v>0</v>
      </c>
      <c r="L135" s="28">
        <f>IF(A135="","",C135*'Menu Productos'!$F$5+D135*'Menu Productos'!$F$6+E135*'Menu Productos'!$F$7+F135*'Menu Productos'!$F$8+G135*'Menu Productos'!$F$9+H135*'Menu Productos'!$F$10+I135*'Menu Productos'!$F$11+J135*'Menu Productos'!$F$12)</f>
        <v>0</v>
      </c>
      <c r="M135" s="28">
        <f>IF(A135="","",C135*'Menu Productos'!$E$5+D135*'Menu Productos'!$E$6+E135*'Menu Productos'!$E$7+F135*'Menu Productos'!$E$8+G135*'Menu Productos'!$E$9+H135*'Menu Productos'!$E$10+I135*'Menu Productos'!$E$11+J135*'Menu Productos'!$E$12)</f>
        <v>0</v>
      </c>
      <c r="N135" s="29"/>
      <c r="O135" s="28">
        <f t="shared" si="12"/>
        <v>0</v>
      </c>
      <c r="P135" s="29"/>
      <c r="Q135" s="29"/>
      <c r="R135" s="29"/>
      <c r="S135" s="28">
        <f t="shared" si="13"/>
        <v>0</v>
      </c>
      <c r="T135" s="28">
        <f t="shared" si="14"/>
        <v>0</v>
      </c>
      <c r="U135" s="12"/>
      <c r="V135" s="12" t="str">
        <f ca="1">IF(A135&gt;TODAY(),"FUTURO",IF(AND(K135=0,N135=0,S135=0),"SIN MOVIMIENTO",IF(ABS(T135)&lt;='Metas y Control'!$B$6,"OK","REVISAR CAJA")))</f>
        <v>SIN MOVIMIENTO</v>
      </c>
    </row>
    <row r="136" spans="1:22" x14ac:dyDescent="0.3">
      <c r="A136" s="25">
        <f>IF(YEAR(A135+1)=Dashboard!$B$2,A135+1,"")</f>
        <v>46154</v>
      </c>
      <c r="B136" s="26" t="str">
        <f t="shared" si="10"/>
        <v>mayo</v>
      </c>
      <c r="C136" s="24"/>
      <c r="D136" s="24"/>
      <c r="E136" s="24"/>
      <c r="F136" s="24"/>
      <c r="G136" s="24"/>
      <c r="H136" s="24"/>
      <c r="I136" s="24"/>
      <c r="J136" s="24"/>
      <c r="K136" s="27">
        <f t="shared" si="11"/>
        <v>0</v>
      </c>
      <c r="L136" s="28">
        <f>IF(A136="","",C136*'Menu Productos'!$F$5+D136*'Menu Productos'!$F$6+E136*'Menu Productos'!$F$7+F136*'Menu Productos'!$F$8+G136*'Menu Productos'!$F$9+H136*'Menu Productos'!$F$10+I136*'Menu Productos'!$F$11+J136*'Menu Productos'!$F$12)</f>
        <v>0</v>
      </c>
      <c r="M136" s="28">
        <f>IF(A136="","",C136*'Menu Productos'!$E$5+D136*'Menu Productos'!$E$6+E136*'Menu Productos'!$E$7+F136*'Menu Productos'!$E$8+G136*'Menu Productos'!$E$9+H136*'Menu Productos'!$E$10+I136*'Menu Productos'!$E$11+J136*'Menu Productos'!$E$12)</f>
        <v>0</v>
      </c>
      <c r="N136" s="29"/>
      <c r="O136" s="28">
        <f t="shared" si="12"/>
        <v>0</v>
      </c>
      <c r="P136" s="29"/>
      <c r="Q136" s="29"/>
      <c r="R136" s="29"/>
      <c r="S136" s="28">
        <f t="shared" si="13"/>
        <v>0</v>
      </c>
      <c r="T136" s="28">
        <f t="shared" si="14"/>
        <v>0</v>
      </c>
      <c r="U136" s="12"/>
      <c r="V136" s="12" t="str">
        <f ca="1">IF(A136&gt;TODAY(),"FUTURO",IF(AND(K136=0,N136=0,S136=0),"SIN MOVIMIENTO",IF(ABS(T136)&lt;='Metas y Control'!$B$6,"OK","REVISAR CAJA")))</f>
        <v>SIN MOVIMIENTO</v>
      </c>
    </row>
    <row r="137" spans="1:22" x14ac:dyDescent="0.3">
      <c r="A137" s="25">
        <f>IF(YEAR(A136+1)=Dashboard!$B$2,A136+1,"")</f>
        <v>46155</v>
      </c>
      <c r="B137" s="26" t="str">
        <f t="shared" si="10"/>
        <v>mayo</v>
      </c>
      <c r="C137" s="24"/>
      <c r="D137" s="24"/>
      <c r="E137" s="24"/>
      <c r="F137" s="24"/>
      <c r="G137" s="24"/>
      <c r="H137" s="24"/>
      <c r="I137" s="24"/>
      <c r="J137" s="24"/>
      <c r="K137" s="27">
        <f t="shared" si="11"/>
        <v>0</v>
      </c>
      <c r="L137" s="28">
        <f>IF(A137="","",C137*'Menu Productos'!$F$5+D137*'Menu Productos'!$F$6+E137*'Menu Productos'!$F$7+F137*'Menu Productos'!$F$8+G137*'Menu Productos'!$F$9+H137*'Menu Productos'!$F$10+I137*'Menu Productos'!$F$11+J137*'Menu Productos'!$F$12)</f>
        <v>0</v>
      </c>
      <c r="M137" s="28">
        <f>IF(A137="","",C137*'Menu Productos'!$E$5+D137*'Menu Productos'!$E$6+E137*'Menu Productos'!$E$7+F137*'Menu Productos'!$E$8+G137*'Menu Productos'!$E$9+H137*'Menu Productos'!$E$10+I137*'Menu Productos'!$E$11+J137*'Menu Productos'!$E$12)</f>
        <v>0</v>
      </c>
      <c r="N137" s="29"/>
      <c r="O137" s="28">
        <f t="shared" si="12"/>
        <v>0</v>
      </c>
      <c r="P137" s="29"/>
      <c r="Q137" s="29"/>
      <c r="R137" s="29"/>
      <c r="S137" s="28">
        <f t="shared" si="13"/>
        <v>0</v>
      </c>
      <c r="T137" s="28">
        <f t="shared" si="14"/>
        <v>0</v>
      </c>
      <c r="U137" s="12"/>
      <c r="V137" s="12" t="str">
        <f ca="1">IF(A137&gt;TODAY(),"FUTURO",IF(AND(K137=0,N137=0,S137=0),"SIN MOVIMIENTO",IF(ABS(T137)&lt;='Metas y Control'!$B$6,"OK","REVISAR CAJA")))</f>
        <v>SIN MOVIMIENTO</v>
      </c>
    </row>
    <row r="138" spans="1:22" x14ac:dyDescent="0.3">
      <c r="A138" s="25">
        <f>IF(YEAR(A137+1)=Dashboard!$B$2,A137+1,"")</f>
        <v>46156</v>
      </c>
      <c r="B138" s="26" t="str">
        <f t="shared" si="10"/>
        <v>mayo</v>
      </c>
      <c r="C138" s="24"/>
      <c r="D138" s="24"/>
      <c r="E138" s="24"/>
      <c r="F138" s="24"/>
      <c r="G138" s="24"/>
      <c r="H138" s="24"/>
      <c r="I138" s="24"/>
      <c r="J138" s="24"/>
      <c r="K138" s="27">
        <f t="shared" si="11"/>
        <v>0</v>
      </c>
      <c r="L138" s="28">
        <f>IF(A138="","",C138*'Menu Productos'!$F$5+D138*'Menu Productos'!$F$6+E138*'Menu Productos'!$F$7+F138*'Menu Productos'!$F$8+G138*'Menu Productos'!$F$9+H138*'Menu Productos'!$F$10+I138*'Menu Productos'!$F$11+J138*'Menu Productos'!$F$12)</f>
        <v>0</v>
      </c>
      <c r="M138" s="28">
        <f>IF(A138="","",C138*'Menu Productos'!$E$5+D138*'Menu Productos'!$E$6+E138*'Menu Productos'!$E$7+F138*'Menu Productos'!$E$8+G138*'Menu Productos'!$E$9+H138*'Menu Productos'!$E$10+I138*'Menu Productos'!$E$11+J138*'Menu Productos'!$E$12)</f>
        <v>0</v>
      </c>
      <c r="N138" s="29"/>
      <c r="O138" s="28">
        <f t="shared" si="12"/>
        <v>0</v>
      </c>
      <c r="P138" s="29"/>
      <c r="Q138" s="29"/>
      <c r="R138" s="29"/>
      <c r="S138" s="28">
        <f t="shared" si="13"/>
        <v>0</v>
      </c>
      <c r="T138" s="28">
        <f t="shared" si="14"/>
        <v>0</v>
      </c>
      <c r="U138" s="12"/>
      <c r="V138" s="12" t="str">
        <f ca="1">IF(A138&gt;TODAY(),"FUTURO",IF(AND(K138=0,N138=0,S138=0),"SIN MOVIMIENTO",IF(ABS(T138)&lt;='Metas y Control'!$B$6,"OK","REVISAR CAJA")))</f>
        <v>SIN MOVIMIENTO</v>
      </c>
    </row>
    <row r="139" spans="1:22" x14ac:dyDescent="0.3">
      <c r="A139" s="25">
        <f>IF(YEAR(A138+1)=Dashboard!$B$2,A138+1,"")</f>
        <v>46157</v>
      </c>
      <c r="B139" s="26" t="str">
        <f t="shared" si="10"/>
        <v>mayo</v>
      </c>
      <c r="C139" s="24"/>
      <c r="D139" s="24"/>
      <c r="E139" s="24"/>
      <c r="F139" s="24"/>
      <c r="G139" s="24"/>
      <c r="H139" s="24"/>
      <c r="I139" s="24"/>
      <c r="J139" s="24"/>
      <c r="K139" s="27">
        <f t="shared" si="11"/>
        <v>0</v>
      </c>
      <c r="L139" s="28">
        <f>IF(A139="","",C139*'Menu Productos'!$F$5+D139*'Menu Productos'!$F$6+E139*'Menu Productos'!$F$7+F139*'Menu Productos'!$F$8+G139*'Menu Productos'!$F$9+H139*'Menu Productos'!$F$10+I139*'Menu Productos'!$F$11+J139*'Menu Productos'!$F$12)</f>
        <v>0</v>
      </c>
      <c r="M139" s="28">
        <f>IF(A139="","",C139*'Menu Productos'!$E$5+D139*'Menu Productos'!$E$6+E139*'Menu Productos'!$E$7+F139*'Menu Productos'!$E$8+G139*'Menu Productos'!$E$9+H139*'Menu Productos'!$E$10+I139*'Menu Productos'!$E$11+J139*'Menu Productos'!$E$12)</f>
        <v>0</v>
      </c>
      <c r="N139" s="29"/>
      <c r="O139" s="28">
        <f t="shared" si="12"/>
        <v>0</v>
      </c>
      <c r="P139" s="29"/>
      <c r="Q139" s="29"/>
      <c r="R139" s="29"/>
      <c r="S139" s="28">
        <f t="shared" si="13"/>
        <v>0</v>
      </c>
      <c r="T139" s="28">
        <f t="shared" si="14"/>
        <v>0</v>
      </c>
      <c r="U139" s="12"/>
      <c r="V139" s="12" t="str">
        <f ca="1">IF(A139&gt;TODAY(),"FUTURO",IF(AND(K139=0,N139=0,S139=0),"SIN MOVIMIENTO",IF(ABS(T139)&lt;='Metas y Control'!$B$6,"OK","REVISAR CAJA")))</f>
        <v>SIN MOVIMIENTO</v>
      </c>
    </row>
    <row r="140" spans="1:22" x14ac:dyDescent="0.3">
      <c r="A140" s="25">
        <f>IF(YEAR(A139+1)=Dashboard!$B$2,A139+1,"")</f>
        <v>46158</v>
      </c>
      <c r="B140" s="26" t="str">
        <f t="shared" si="10"/>
        <v>mayo</v>
      </c>
      <c r="C140" s="24"/>
      <c r="D140" s="24"/>
      <c r="E140" s="24"/>
      <c r="F140" s="24"/>
      <c r="G140" s="24"/>
      <c r="H140" s="24"/>
      <c r="I140" s="24"/>
      <c r="J140" s="24"/>
      <c r="K140" s="27">
        <f t="shared" si="11"/>
        <v>0</v>
      </c>
      <c r="L140" s="28">
        <f>IF(A140="","",C140*'Menu Productos'!$F$5+D140*'Menu Productos'!$F$6+E140*'Menu Productos'!$F$7+F140*'Menu Productos'!$F$8+G140*'Menu Productos'!$F$9+H140*'Menu Productos'!$F$10+I140*'Menu Productos'!$F$11+J140*'Menu Productos'!$F$12)</f>
        <v>0</v>
      </c>
      <c r="M140" s="28">
        <f>IF(A140="","",C140*'Menu Productos'!$E$5+D140*'Menu Productos'!$E$6+E140*'Menu Productos'!$E$7+F140*'Menu Productos'!$E$8+G140*'Menu Productos'!$E$9+H140*'Menu Productos'!$E$10+I140*'Menu Productos'!$E$11+J140*'Menu Productos'!$E$12)</f>
        <v>0</v>
      </c>
      <c r="N140" s="29"/>
      <c r="O140" s="28">
        <f t="shared" si="12"/>
        <v>0</v>
      </c>
      <c r="P140" s="29"/>
      <c r="Q140" s="29"/>
      <c r="R140" s="29"/>
      <c r="S140" s="28">
        <f t="shared" si="13"/>
        <v>0</v>
      </c>
      <c r="T140" s="28">
        <f t="shared" si="14"/>
        <v>0</v>
      </c>
      <c r="U140" s="12"/>
      <c r="V140" s="12" t="str">
        <f ca="1">IF(A140&gt;TODAY(),"FUTURO",IF(AND(K140=0,N140=0,S140=0),"SIN MOVIMIENTO",IF(ABS(T140)&lt;='Metas y Control'!$B$6,"OK","REVISAR CAJA")))</f>
        <v>SIN MOVIMIENTO</v>
      </c>
    </row>
    <row r="141" spans="1:22" x14ac:dyDescent="0.3">
      <c r="A141" s="25">
        <f>IF(YEAR(A140+1)=Dashboard!$B$2,A140+1,"")</f>
        <v>46159</v>
      </c>
      <c r="B141" s="26" t="str">
        <f t="shared" si="10"/>
        <v>mayo</v>
      </c>
      <c r="C141" s="24"/>
      <c r="D141" s="24"/>
      <c r="E141" s="24"/>
      <c r="F141" s="24"/>
      <c r="G141" s="24"/>
      <c r="H141" s="24"/>
      <c r="I141" s="24"/>
      <c r="J141" s="24"/>
      <c r="K141" s="27">
        <f t="shared" si="11"/>
        <v>0</v>
      </c>
      <c r="L141" s="28">
        <f>IF(A141="","",C141*'Menu Productos'!$F$5+D141*'Menu Productos'!$F$6+E141*'Menu Productos'!$F$7+F141*'Menu Productos'!$F$8+G141*'Menu Productos'!$F$9+H141*'Menu Productos'!$F$10+I141*'Menu Productos'!$F$11+J141*'Menu Productos'!$F$12)</f>
        <v>0</v>
      </c>
      <c r="M141" s="28">
        <f>IF(A141="","",C141*'Menu Productos'!$E$5+D141*'Menu Productos'!$E$6+E141*'Menu Productos'!$E$7+F141*'Menu Productos'!$E$8+G141*'Menu Productos'!$E$9+H141*'Menu Productos'!$E$10+I141*'Menu Productos'!$E$11+J141*'Menu Productos'!$E$12)</f>
        <v>0</v>
      </c>
      <c r="N141" s="29"/>
      <c r="O141" s="28">
        <f t="shared" si="12"/>
        <v>0</v>
      </c>
      <c r="P141" s="29"/>
      <c r="Q141" s="29"/>
      <c r="R141" s="29"/>
      <c r="S141" s="28">
        <f t="shared" si="13"/>
        <v>0</v>
      </c>
      <c r="T141" s="28">
        <f t="shared" si="14"/>
        <v>0</v>
      </c>
      <c r="U141" s="12"/>
      <c r="V141" s="12" t="str">
        <f ca="1">IF(A141&gt;TODAY(),"FUTURO",IF(AND(K141=0,N141=0,S141=0),"SIN MOVIMIENTO",IF(ABS(T141)&lt;='Metas y Control'!$B$6,"OK","REVISAR CAJA")))</f>
        <v>SIN MOVIMIENTO</v>
      </c>
    </row>
    <row r="142" spans="1:22" x14ac:dyDescent="0.3">
      <c r="A142" s="25">
        <f>IF(YEAR(A141+1)=Dashboard!$B$2,A141+1,"")</f>
        <v>46160</v>
      </c>
      <c r="B142" s="26" t="str">
        <f t="shared" si="10"/>
        <v>mayo</v>
      </c>
      <c r="C142" s="24"/>
      <c r="D142" s="24"/>
      <c r="E142" s="24"/>
      <c r="F142" s="24"/>
      <c r="G142" s="24"/>
      <c r="H142" s="24"/>
      <c r="I142" s="24"/>
      <c r="J142" s="24"/>
      <c r="K142" s="27">
        <f t="shared" si="11"/>
        <v>0</v>
      </c>
      <c r="L142" s="28">
        <f>IF(A142="","",C142*'Menu Productos'!$F$5+D142*'Menu Productos'!$F$6+E142*'Menu Productos'!$F$7+F142*'Menu Productos'!$F$8+G142*'Menu Productos'!$F$9+H142*'Menu Productos'!$F$10+I142*'Menu Productos'!$F$11+J142*'Menu Productos'!$F$12)</f>
        <v>0</v>
      </c>
      <c r="M142" s="28">
        <f>IF(A142="","",C142*'Menu Productos'!$E$5+D142*'Menu Productos'!$E$6+E142*'Menu Productos'!$E$7+F142*'Menu Productos'!$E$8+G142*'Menu Productos'!$E$9+H142*'Menu Productos'!$E$10+I142*'Menu Productos'!$E$11+J142*'Menu Productos'!$E$12)</f>
        <v>0</v>
      </c>
      <c r="N142" s="29"/>
      <c r="O142" s="28">
        <f t="shared" si="12"/>
        <v>0</v>
      </c>
      <c r="P142" s="29"/>
      <c r="Q142" s="29"/>
      <c r="R142" s="29"/>
      <c r="S142" s="28">
        <f t="shared" si="13"/>
        <v>0</v>
      </c>
      <c r="T142" s="28">
        <f t="shared" si="14"/>
        <v>0</v>
      </c>
      <c r="U142" s="12"/>
      <c r="V142" s="12" t="str">
        <f ca="1">IF(A142&gt;TODAY(),"FUTURO",IF(AND(K142=0,N142=0,S142=0),"SIN MOVIMIENTO",IF(ABS(T142)&lt;='Metas y Control'!$B$6,"OK","REVISAR CAJA")))</f>
        <v>SIN MOVIMIENTO</v>
      </c>
    </row>
    <row r="143" spans="1:22" x14ac:dyDescent="0.3">
      <c r="A143" s="25">
        <f>IF(YEAR(A142+1)=Dashboard!$B$2,A142+1,"")</f>
        <v>46161</v>
      </c>
      <c r="B143" s="26" t="str">
        <f t="shared" si="10"/>
        <v>mayo</v>
      </c>
      <c r="C143" s="24"/>
      <c r="D143" s="24"/>
      <c r="E143" s="24"/>
      <c r="F143" s="24"/>
      <c r="G143" s="24"/>
      <c r="H143" s="24"/>
      <c r="I143" s="24"/>
      <c r="J143" s="24"/>
      <c r="K143" s="27">
        <f t="shared" si="11"/>
        <v>0</v>
      </c>
      <c r="L143" s="28">
        <f>IF(A143="","",C143*'Menu Productos'!$F$5+D143*'Menu Productos'!$F$6+E143*'Menu Productos'!$F$7+F143*'Menu Productos'!$F$8+G143*'Menu Productos'!$F$9+H143*'Menu Productos'!$F$10+I143*'Menu Productos'!$F$11+J143*'Menu Productos'!$F$12)</f>
        <v>0</v>
      </c>
      <c r="M143" s="28">
        <f>IF(A143="","",C143*'Menu Productos'!$E$5+D143*'Menu Productos'!$E$6+E143*'Menu Productos'!$E$7+F143*'Menu Productos'!$E$8+G143*'Menu Productos'!$E$9+H143*'Menu Productos'!$E$10+I143*'Menu Productos'!$E$11+J143*'Menu Productos'!$E$12)</f>
        <v>0</v>
      </c>
      <c r="N143" s="29"/>
      <c r="O143" s="28">
        <f t="shared" si="12"/>
        <v>0</v>
      </c>
      <c r="P143" s="29"/>
      <c r="Q143" s="29"/>
      <c r="R143" s="29"/>
      <c r="S143" s="28">
        <f t="shared" si="13"/>
        <v>0</v>
      </c>
      <c r="T143" s="28">
        <f t="shared" si="14"/>
        <v>0</v>
      </c>
      <c r="U143" s="12"/>
      <c r="V143" s="12" t="str">
        <f ca="1">IF(A143&gt;TODAY(),"FUTURO",IF(AND(K143=0,N143=0,S143=0),"SIN MOVIMIENTO",IF(ABS(T143)&lt;='Metas y Control'!$B$6,"OK","REVISAR CAJA")))</f>
        <v>SIN MOVIMIENTO</v>
      </c>
    </row>
    <row r="144" spans="1:22" x14ac:dyDescent="0.3">
      <c r="A144" s="25">
        <f>IF(YEAR(A143+1)=Dashboard!$B$2,A143+1,"")</f>
        <v>46162</v>
      </c>
      <c r="B144" s="26" t="str">
        <f t="shared" si="10"/>
        <v>mayo</v>
      </c>
      <c r="C144" s="24"/>
      <c r="D144" s="24"/>
      <c r="E144" s="24"/>
      <c r="F144" s="24"/>
      <c r="G144" s="24"/>
      <c r="H144" s="24"/>
      <c r="I144" s="24"/>
      <c r="J144" s="24"/>
      <c r="K144" s="27">
        <f t="shared" si="11"/>
        <v>0</v>
      </c>
      <c r="L144" s="28">
        <f>IF(A144="","",C144*'Menu Productos'!$F$5+D144*'Menu Productos'!$F$6+E144*'Menu Productos'!$F$7+F144*'Menu Productos'!$F$8+G144*'Menu Productos'!$F$9+H144*'Menu Productos'!$F$10+I144*'Menu Productos'!$F$11+J144*'Menu Productos'!$F$12)</f>
        <v>0</v>
      </c>
      <c r="M144" s="28">
        <f>IF(A144="","",C144*'Menu Productos'!$E$5+D144*'Menu Productos'!$E$6+E144*'Menu Productos'!$E$7+F144*'Menu Productos'!$E$8+G144*'Menu Productos'!$E$9+H144*'Menu Productos'!$E$10+I144*'Menu Productos'!$E$11+J144*'Menu Productos'!$E$12)</f>
        <v>0</v>
      </c>
      <c r="N144" s="29"/>
      <c r="O144" s="28">
        <f t="shared" si="12"/>
        <v>0</v>
      </c>
      <c r="P144" s="29"/>
      <c r="Q144" s="29"/>
      <c r="R144" s="29"/>
      <c r="S144" s="28">
        <f t="shared" si="13"/>
        <v>0</v>
      </c>
      <c r="T144" s="28">
        <f t="shared" si="14"/>
        <v>0</v>
      </c>
      <c r="U144" s="12"/>
      <c r="V144" s="12" t="str">
        <f ca="1">IF(A144&gt;TODAY(),"FUTURO",IF(AND(K144=0,N144=0,S144=0),"SIN MOVIMIENTO",IF(ABS(T144)&lt;='Metas y Control'!$B$6,"OK","REVISAR CAJA")))</f>
        <v>SIN MOVIMIENTO</v>
      </c>
    </row>
    <row r="145" spans="1:22" x14ac:dyDescent="0.3">
      <c r="A145" s="25">
        <f>IF(YEAR(A144+1)=Dashboard!$B$2,A144+1,"")</f>
        <v>46163</v>
      </c>
      <c r="B145" s="26" t="str">
        <f t="shared" si="10"/>
        <v>mayo</v>
      </c>
      <c r="C145" s="24"/>
      <c r="D145" s="24"/>
      <c r="E145" s="24"/>
      <c r="F145" s="24"/>
      <c r="G145" s="24"/>
      <c r="H145" s="24"/>
      <c r="I145" s="24"/>
      <c r="J145" s="24"/>
      <c r="K145" s="27">
        <f t="shared" si="11"/>
        <v>0</v>
      </c>
      <c r="L145" s="28">
        <f>IF(A145="","",C145*'Menu Productos'!$F$5+D145*'Menu Productos'!$F$6+E145*'Menu Productos'!$F$7+F145*'Menu Productos'!$F$8+G145*'Menu Productos'!$F$9+H145*'Menu Productos'!$F$10+I145*'Menu Productos'!$F$11+J145*'Menu Productos'!$F$12)</f>
        <v>0</v>
      </c>
      <c r="M145" s="28">
        <f>IF(A145="","",C145*'Menu Productos'!$E$5+D145*'Menu Productos'!$E$6+E145*'Menu Productos'!$E$7+F145*'Menu Productos'!$E$8+G145*'Menu Productos'!$E$9+H145*'Menu Productos'!$E$10+I145*'Menu Productos'!$E$11+J145*'Menu Productos'!$E$12)</f>
        <v>0</v>
      </c>
      <c r="N145" s="29"/>
      <c r="O145" s="28">
        <f t="shared" si="12"/>
        <v>0</v>
      </c>
      <c r="P145" s="29"/>
      <c r="Q145" s="29"/>
      <c r="R145" s="29"/>
      <c r="S145" s="28">
        <f t="shared" si="13"/>
        <v>0</v>
      </c>
      <c r="T145" s="28">
        <f t="shared" si="14"/>
        <v>0</v>
      </c>
      <c r="U145" s="12"/>
      <c r="V145" s="12" t="str">
        <f ca="1">IF(A145&gt;TODAY(),"FUTURO",IF(AND(K145=0,N145=0,S145=0),"SIN MOVIMIENTO",IF(ABS(T145)&lt;='Metas y Control'!$B$6,"OK","REVISAR CAJA")))</f>
        <v>SIN MOVIMIENTO</v>
      </c>
    </row>
    <row r="146" spans="1:22" x14ac:dyDescent="0.3">
      <c r="A146" s="25">
        <f>IF(YEAR(A145+1)=Dashboard!$B$2,A145+1,"")</f>
        <v>46164</v>
      </c>
      <c r="B146" s="26" t="str">
        <f t="shared" si="10"/>
        <v>mayo</v>
      </c>
      <c r="C146" s="24"/>
      <c r="D146" s="24"/>
      <c r="E146" s="24"/>
      <c r="F146" s="24"/>
      <c r="G146" s="24"/>
      <c r="H146" s="24"/>
      <c r="I146" s="24"/>
      <c r="J146" s="24"/>
      <c r="K146" s="27">
        <f t="shared" si="11"/>
        <v>0</v>
      </c>
      <c r="L146" s="28">
        <f>IF(A146="","",C146*'Menu Productos'!$F$5+D146*'Menu Productos'!$F$6+E146*'Menu Productos'!$F$7+F146*'Menu Productos'!$F$8+G146*'Menu Productos'!$F$9+H146*'Menu Productos'!$F$10+I146*'Menu Productos'!$F$11+J146*'Menu Productos'!$F$12)</f>
        <v>0</v>
      </c>
      <c r="M146" s="28">
        <f>IF(A146="","",C146*'Menu Productos'!$E$5+D146*'Menu Productos'!$E$6+E146*'Menu Productos'!$E$7+F146*'Menu Productos'!$E$8+G146*'Menu Productos'!$E$9+H146*'Menu Productos'!$E$10+I146*'Menu Productos'!$E$11+J146*'Menu Productos'!$E$12)</f>
        <v>0</v>
      </c>
      <c r="N146" s="29"/>
      <c r="O146" s="28">
        <f t="shared" si="12"/>
        <v>0</v>
      </c>
      <c r="P146" s="29"/>
      <c r="Q146" s="29"/>
      <c r="R146" s="29"/>
      <c r="S146" s="28">
        <f t="shared" si="13"/>
        <v>0</v>
      </c>
      <c r="T146" s="28">
        <f t="shared" si="14"/>
        <v>0</v>
      </c>
      <c r="U146" s="12"/>
      <c r="V146" s="12" t="str">
        <f ca="1">IF(A146&gt;TODAY(),"FUTURO",IF(AND(K146=0,N146=0,S146=0),"SIN MOVIMIENTO",IF(ABS(T146)&lt;='Metas y Control'!$B$6,"OK","REVISAR CAJA")))</f>
        <v>SIN MOVIMIENTO</v>
      </c>
    </row>
    <row r="147" spans="1:22" x14ac:dyDescent="0.3">
      <c r="A147" s="25">
        <f>IF(YEAR(A146+1)=Dashboard!$B$2,A146+1,"")</f>
        <v>46165</v>
      </c>
      <c r="B147" s="26" t="str">
        <f t="shared" si="10"/>
        <v>mayo</v>
      </c>
      <c r="C147" s="24"/>
      <c r="D147" s="24"/>
      <c r="E147" s="24"/>
      <c r="F147" s="24"/>
      <c r="G147" s="24"/>
      <c r="H147" s="24"/>
      <c r="I147" s="24"/>
      <c r="J147" s="24"/>
      <c r="K147" s="27">
        <f t="shared" si="11"/>
        <v>0</v>
      </c>
      <c r="L147" s="28">
        <f>IF(A147="","",C147*'Menu Productos'!$F$5+D147*'Menu Productos'!$F$6+E147*'Menu Productos'!$F$7+F147*'Menu Productos'!$F$8+G147*'Menu Productos'!$F$9+H147*'Menu Productos'!$F$10+I147*'Menu Productos'!$F$11+J147*'Menu Productos'!$F$12)</f>
        <v>0</v>
      </c>
      <c r="M147" s="28">
        <f>IF(A147="","",C147*'Menu Productos'!$E$5+D147*'Menu Productos'!$E$6+E147*'Menu Productos'!$E$7+F147*'Menu Productos'!$E$8+G147*'Menu Productos'!$E$9+H147*'Menu Productos'!$E$10+I147*'Menu Productos'!$E$11+J147*'Menu Productos'!$E$12)</f>
        <v>0</v>
      </c>
      <c r="N147" s="29"/>
      <c r="O147" s="28">
        <f t="shared" si="12"/>
        <v>0</v>
      </c>
      <c r="P147" s="29"/>
      <c r="Q147" s="29"/>
      <c r="R147" s="29"/>
      <c r="S147" s="28">
        <f t="shared" si="13"/>
        <v>0</v>
      </c>
      <c r="T147" s="28">
        <f t="shared" si="14"/>
        <v>0</v>
      </c>
      <c r="U147" s="12"/>
      <c r="V147" s="12" t="str">
        <f ca="1">IF(A147&gt;TODAY(),"FUTURO",IF(AND(K147=0,N147=0,S147=0),"SIN MOVIMIENTO",IF(ABS(T147)&lt;='Metas y Control'!$B$6,"OK","REVISAR CAJA")))</f>
        <v>SIN MOVIMIENTO</v>
      </c>
    </row>
    <row r="148" spans="1:22" x14ac:dyDescent="0.3">
      <c r="A148" s="25">
        <f>IF(YEAR(A147+1)=Dashboard!$B$2,A147+1,"")</f>
        <v>46166</v>
      </c>
      <c r="B148" s="26" t="str">
        <f t="shared" si="10"/>
        <v>mayo</v>
      </c>
      <c r="C148" s="24"/>
      <c r="D148" s="24"/>
      <c r="E148" s="24"/>
      <c r="F148" s="24"/>
      <c r="G148" s="24"/>
      <c r="H148" s="24"/>
      <c r="I148" s="24"/>
      <c r="J148" s="24"/>
      <c r="K148" s="27">
        <f t="shared" si="11"/>
        <v>0</v>
      </c>
      <c r="L148" s="28">
        <f>IF(A148="","",C148*'Menu Productos'!$F$5+D148*'Menu Productos'!$F$6+E148*'Menu Productos'!$F$7+F148*'Menu Productos'!$F$8+G148*'Menu Productos'!$F$9+H148*'Menu Productos'!$F$10+I148*'Menu Productos'!$F$11+J148*'Menu Productos'!$F$12)</f>
        <v>0</v>
      </c>
      <c r="M148" s="28">
        <f>IF(A148="","",C148*'Menu Productos'!$E$5+D148*'Menu Productos'!$E$6+E148*'Menu Productos'!$E$7+F148*'Menu Productos'!$E$8+G148*'Menu Productos'!$E$9+H148*'Menu Productos'!$E$10+I148*'Menu Productos'!$E$11+J148*'Menu Productos'!$E$12)</f>
        <v>0</v>
      </c>
      <c r="N148" s="29"/>
      <c r="O148" s="28">
        <f t="shared" si="12"/>
        <v>0</v>
      </c>
      <c r="P148" s="29"/>
      <c r="Q148" s="29"/>
      <c r="R148" s="29"/>
      <c r="S148" s="28">
        <f t="shared" si="13"/>
        <v>0</v>
      </c>
      <c r="T148" s="28">
        <f t="shared" si="14"/>
        <v>0</v>
      </c>
      <c r="U148" s="12"/>
      <c r="V148" s="12" t="str">
        <f ca="1">IF(A148&gt;TODAY(),"FUTURO",IF(AND(K148=0,N148=0,S148=0),"SIN MOVIMIENTO",IF(ABS(T148)&lt;='Metas y Control'!$B$6,"OK","REVISAR CAJA")))</f>
        <v>SIN MOVIMIENTO</v>
      </c>
    </row>
    <row r="149" spans="1:22" x14ac:dyDescent="0.3">
      <c r="A149" s="25">
        <f>IF(YEAR(A148+1)=Dashboard!$B$2,A148+1,"")</f>
        <v>46167</v>
      </c>
      <c r="B149" s="26" t="str">
        <f t="shared" si="10"/>
        <v>mayo</v>
      </c>
      <c r="C149" s="24"/>
      <c r="D149" s="24"/>
      <c r="E149" s="24"/>
      <c r="F149" s="24"/>
      <c r="G149" s="24"/>
      <c r="H149" s="24"/>
      <c r="I149" s="24"/>
      <c r="J149" s="24"/>
      <c r="K149" s="27">
        <f t="shared" si="11"/>
        <v>0</v>
      </c>
      <c r="L149" s="28">
        <f>IF(A149="","",C149*'Menu Productos'!$F$5+D149*'Menu Productos'!$F$6+E149*'Menu Productos'!$F$7+F149*'Menu Productos'!$F$8+G149*'Menu Productos'!$F$9+H149*'Menu Productos'!$F$10+I149*'Menu Productos'!$F$11+J149*'Menu Productos'!$F$12)</f>
        <v>0</v>
      </c>
      <c r="M149" s="28">
        <f>IF(A149="","",C149*'Menu Productos'!$E$5+D149*'Menu Productos'!$E$6+E149*'Menu Productos'!$E$7+F149*'Menu Productos'!$E$8+G149*'Menu Productos'!$E$9+H149*'Menu Productos'!$E$10+I149*'Menu Productos'!$E$11+J149*'Menu Productos'!$E$12)</f>
        <v>0</v>
      </c>
      <c r="N149" s="29"/>
      <c r="O149" s="28">
        <f t="shared" si="12"/>
        <v>0</v>
      </c>
      <c r="P149" s="29"/>
      <c r="Q149" s="29"/>
      <c r="R149" s="29"/>
      <c r="S149" s="28">
        <f t="shared" si="13"/>
        <v>0</v>
      </c>
      <c r="T149" s="28">
        <f t="shared" si="14"/>
        <v>0</v>
      </c>
      <c r="U149" s="12"/>
      <c r="V149" s="12" t="str">
        <f ca="1">IF(A149&gt;TODAY(),"FUTURO",IF(AND(K149=0,N149=0,S149=0),"SIN MOVIMIENTO",IF(ABS(T149)&lt;='Metas y Control'!$B$6,"OK","REVISAR CAJA")))</f>
        <v>SIN MOVIMIENTO</v>
      </c>
    </row>
    <row r="150" spans="1:22" x14ac:dyDescent="0.3">
      <c r="A150" s="25">
        <f>IF(YEAR(A149+1)=Dashboard!$B$2,A149+1,"")</f>
        <v>46168</v>
      </c>
      <c r="B150" s="26" t="str">
        <f t="shared" si="10"/>
        <v>mayo</v>
      </c>
      <c r="C150" s="24"/>
      <c r="D150" s="24"/>
      <c r="E150" s="24"/>
      <c r="F150" s="24"/>
      <c r="G150" s="24"/>
      <c r="H150" s="24"/>
      <c r="I150" s="24"/>
      <c r="J150" s="24"/>
      <c r="K150" s="27">
        <f t="shared" si="11"/>
        <v>0</v>
      </c>
      <c r="L150" s="28">
        <f>IF(A150="","",C150*'Menu Productos'!$F$5+D150*'Menu Productos'!$F$6+E150*'Menu Productos'!$F$7+F150*'Menu Productos'!$F$8+G150*'Menu Productos'!$F$9+H150*'Menu Productos'!$F$10+I150*'Menu Productos'!$F$11+J150*'Menu Productos'!$F$12)</f>
        <v>0</v>
      </c>
      <c r="M150" s="28">
        <f>IF(A150="","",C150*'Menu Productos'!$E$5+D150*'Menu Productos'!$E$6+E150*'Menu Productos'!$E$7+F150*'Menu Productos'!$E$8+G150*'Menu Productos'!$E$9+H150*'Menu Productos'!$E$10+I150*'Menu Productos'!$E$11+J150*'Menu Productos'!$E$12)</f>
        <v>0</v>
      </c>
      <c r="N150" s="29"/>
      <c r="O150" s="28">
        <f t="shared" si="12"/>
        <v>0</v>
      </c>
      <c r="P150" s="29"/>
      <c r="Q150" s="29"/>
      <c r="R150" s="29"/>
      <c r="S150" s="28">
        <f t="shared" si="13"/>
        <v>0</v>
      </c>
      <c r="T150" s="28">
        <f t="shared" si="14"/>
        <v>0</v>
      </c>
      <c r="U150" s="12"/>
      <c r="V150" s="12" t="str">
        <f ca="1">IF(A150&gt;TODAY(),"FUTURO",IF(AND(K150=0,N150=0,S150=0),"SIN MOVIMIENTO",IF(ABS(T150)&lt;='Metas y Control'!$B$6,"OK","REVISAR CAJA")))</f>
        <v>SIN MOVIMIENTO</v>
      </c>
    </row>
    <row r="151" spans="1:22" x14ac:dyDescent="0.3">
      <c r="A151" s="25">
        <f>IF(YEAR(A150+1)=Dashboard!$B$2,A150+1,"")</f>
        <v>46169</v>
      </c>
      <c r="B151" s="26" t="str">
        <f t="shared" si="10"/>
        <v>mayo</v>
      </c>
      <c r="C151" s="24"/>
      <c r="D151" s="24"/>
      <c r="E151" s="24"/>
      <c r="F151" s="24"/>
      <c r="G151" s="24"/>
      <c r="H151" s="24"/>
      <c r="I151" s="24"/>
      <c r="J151" s="24"/>
      <c r="K151" s="27">
        <f t="shared" si="11"/>
        <v>0</v>
      </c>
      <c r="L151" s="28">
        <f>IF(A151="","",C151*'Menu Productos'!$F$5+D151*'Menu Productos'!$F$6+E151*'Menu Productos'!$F$7+F151*'Menu Productos'!$F$8+G151*'Menu Productos'!$F$9+H151*'Menu Productos'!$F$10+I151*'Menu Productos'!$F$11+J151*'Menu Productos'!$F$12)</f>
        <v>0</v>
      </c>
      <c r="M151" s="28">
        <f>IF(A151="","",C151*'Menu Productos'!$E$5+D151*'Menu Productos'!$E$6+E151*'Menu Productos'!$E$7+F151*'Menu Productos'!$E$8+G151*'Menu Productos'!$E$9+H151*'Menu Productos'!$E$10+I151*'Menu Productos'!$E$11+J151*'Menu Productos'!$E$12)</f>
        <v>0</v>
      </c>
      <c r="N151" s="29"/>
      <c r="O151" s="28">
        <f t="shared" si="12"/>
        <v>0</v>
      </c>
      <c r="P151" s="29"/>
      <c r="Q151" s="29"/>
      <c r="R151" s="29"/>
      <c r="S151" s="28">
        <f t="shared" si="13"/>
        <v>0</v>
      </c>
      <c r="T151" s="28">
        <f t="shared" si="14"/>
        <v>0</v>
      </c>
      <c r="U151" s="12"/>
      <c r="V151" s="12" t="str">
        <f ca="1">IF(A151&gt;TODAY(),"FUTURO",IF(AND(K151=0,N151=0,S151=0),"SIN MOVIMIENTO",IF(ABS(T151)&lt;='Metas y Control'!$B$6,"OK","REVISAR CAJA")))</f>
        <v>SIN MOVIMIENTO</v>
      </c>
    </row>
    <row r="152" spans="1:22" x14ac:dyDescent="0.3">
      <c r="A152" s="25">
        <f>IF(YEAR(A151+1)=Dashboard!$B$2,A151+1,"")</f>
        <v>46170</v>
      </c>
      <c r="B152" s="26" t="str">
        <f t="shared" si="10"/>
        <v>mayo</v>
      </c>
      <c r="C152" s="24"/>
      <c r="D152" s="24"/>
      <c r="E152" s="24"/>
      <c r="F152" s="24"/>
      <c r="G152" s="24"/>
      <c r="H152" s="24"/>
      <c r="I152" s="24"/>
      <c r="J152" s="24"/>
      <c r="K152" s="27">
        <f t="shared" si="11"/>
        <v>0</v>
      </c>
      <c r="L152" s="28">
        <f>IF(A152="","",C152*'Menu Productos'!$F$5+D152*'Menu Productos'!$F$6+E152*'Menu Productos'!$F$7+F152*'Menu Productos'!$F$8+G152*'Menu Productos'!$F$9+H152*'Menu Productos'!$F$10+I152*'Menu Productos'!$F$11+J152*'Menu Productos'!$F$12)</f>
        <v>0</v>
      </c>
      <c r="M152" s="28">
        <f>IF(A152="","",C152*'Menu Productos'!$E$5+D152*'Menu Productos'!$E$6+E152*'Menu Productos'!$E$7+F152*'Menu Productos'!$E$8+G152*'Menu Productos'!$E$9+H152*'Menu Productos'!$E$10+I152*'Menu Productos'!$E$11+J152*'Menu Productos'!$E$12)</f>
        <v>0</v>
      </c>
      <c r="N152" s="29"/>
      <c r="O152" s="28">
        <f t="shared" si="12"/>
        <v>0</v>
      </c>
      <c r="P152" s="29"/>
      <c r="Q152" s="29"/>
      <c r="R152" s="29"/>
      <c r="S152" s="28">
        <f t="shared" si="13"/>
        <v>0</v>
      </c>
      <c r="T152" s="28">
        <f t="shared" si="14"/>
        <v>0</v>
      </c>
      <c r="U152" s="12"/>
      <c r="V152" s="12" t="str">
        <f ca="1">IF(A152&gt;TODAY(),"FUTURO",IF(AND(K152=0,N152=0,S152=0),"SIN MOVIMIENTO",IF(ABS(T152)&lt;='Metas y Control'!$B$6,"OK","REVISAR CAJA")))</f>
        <v>SIN MOVIMIENTO</v>
      </c>
    </row>
    <row r="153" spans="1:22" x14ac:dyDescent="0.3">
      <c r="A153" s="25">
        <f>IF(YEAR(A152+1)=Dashboard!$B$2,A152+1,"")</f>
        <v>46171</v>
      </c>
      <c r="B153" s="26" t="str">
        <f t="shared" si="10"/>
        <v>mayo</v>
      </c>
      <c r="C153" s="24"/>
      <c r="D153" s="24"/>
      <c r="E153" s="24"/>
      <c r="F153" s="24"/>
      <c r="G153" s="24"/>
      <c r="H153" s="24"/>
      <c r="I153" s="24"/>
      <c r="J153" s="24"/>
      <c r="K153" s="27">
        <f t="shared" si="11"/>
        <v>0</v>
      </c>
      <c r="L153" s="28">
        <f>IF(A153="","",C153*'Menu Productos'!$F$5+D153*'Menu Productos'!$F$6+E153*'Menu Productos'!$F$7+F153*'Menu Productos'!$F$8+G153*'Menu Productos'!$F$9+H153*'Menu Productos'!$F$10+I153*'Menu Productos'!$F$11+J153*'Menu Productos'!$F$12)</f>
        <v>0</v>
      </c>
      <c r="M153" s="28">
        <f>IF(A153="","",C153*'Menu Productos'!$E$5+D153*'Menu Productos'!$E$6+E153*'Menu Productos'!$E$7+F153*'Menu Productos'!$E$8+G153*'Menu Productos'!$E$9+H153*'Menu Productos'!$E$10+I153*'Menu Productos'!$E$11+J153*'Menu Productos'!$E$12)</f>
        <v>0</v>
      </c>
      <c r="N153" s="29"/>
      <c r="O153" s="28">
        <f t="shared" si="12"/>
        <v>0</v>
      </c>
      <c r="P153" s="29"/>
      <c r="Q153" s="29"/>
      <c r="R153" s="29"/>
      <c r="S153" s="28">
        <f t="shared" si="13"/>
        <v>0</v>
      </c>
      <c r="T153" s="28">
        <f t="shared" si="14"/>
        <v>0</v>
      </c>
      <c r="U153" s="12"/>
      <c r="V153" s="12" t="str">
        <f ca="1">IF(A153&gt;TODAY(),"FUTURO",IF(AND(K153=0,N153=0,S153=0),"SIN MOVIMIENTO",IF(ABS(T153)&lt;='Metas y Control'!$B$6,"OK","REVISAR CAJA")))</f>
        <v>SIN MOVIMIENTO</v>
      </c>
    </row>
    <row r="154" spans="1:22" x14ac:dyDescent="0.3">
      <c r="A154" s="25">
        <f>IF(YEAR(A153+1)=Dashboard!$B$2,A153+1,"")</f>
        <v>46172</v>
      </c>
      <c r="B154" s="26" t="str">
        <f t="shared" si="10"/>
        <v>mayo</v>
      </c>
      <c r="C154" s="24"/>
      <c r="D154" s="24"/>
      <c r="E154" s="24"/>
      <c r="F154" s="24"/>
      <c r="G154" s="24"/>
      <c r="H154" s="24"/>
      <c r="I154" s="24"/>
      <c r="J154" s="24"/>
      <c r="K154" s="27">
        <f t="shared" si="11"/>
        <v>0</v>
      </c>
      <c r="L154" s="28">
        <f>IF(A154="","",C154*'Menu Productos'!$F$5+D154*'Menu Productos'!$F$6+E154*'Menu Productos'!$F$7+F154*'Menu Productos'!$F$8+G154*'Menu Productos'!$F$9+H154*'Menu Productos'!$F$10+I154*'Menu Productos'!$F$11+J154*'Menu Productos'!$F$12)</f>
        <v>0</v>
      </c>
      <c r="M154" s="28">
        <f>IF(A154="","",C154*'Menu Productos'!$E$5+D154*'Menu Productos'!$E$6+E154*'Menu Productos'!$E$7+F154*'Menu Productos'!$E$8+G154*'Menu Productos'!$E$9+H154*'Menu Productos'!$E$10+I154*'Menu Productos'!$E$11+J154*'Menu Productos'!$E$12)</f>
        <v>0</v>
      </c>
      <c r="N154" s="29"/>
      <c r="O154" s="28">
        <f t="shared" si="12"/>
        <v>0</v>
      </c>
      <c r="P154" s="29"/>
      <c r="Q154" s="29"/>
      <c r="R154" s="29"/>
      <c r="S154" s="28">
        <f t="shared" si="13"/>
        <v>0</v>
      </c>
      <c r="T154" s="28">
        <f t="shared" si="14"/>
        <v>0</v>
      </c>
      <c r="U154" s="12"/>
      <c r="V154" s="12" t="str">
        <f ca="1">IF(A154&gt;TODAY(),"FUTURO",IF(AND(K154=0,N154=0,S154=0),"SIN MOVIMIENTO",IF(ABS(T154)&lt;='Metas y Control'!$B$6,"OK","REVISAR CAJA")))</f>
        <v>SIN MOVIMIENTO</v>
      </c>
    </row>
    <row r="155" spans="1:22" x14ac:dyDescent="0.3">
      <c r="A155" s="25">
        <f>IF(YEAR(A154+1)=Dashboard!$B$2,A154+1,"")</f>
        <v>46173</v>
      </c>
      <c r="B155" s="26" t="str">
        <f t="shared" si="10"/>
        <v>mayo</v>
      </c>
      <c r="C155" s="24"/>
      <c r="D155" s="24"/>
      <c r="E155" s="24"/>
      <c r="F155" s="24"/>
      <c r="G155" s="24"/>
      <c r="H155" s="24"/>
      <c r="I155" s="24"/>
      <c r="J155" s="24"/>
      <c r="K155" s="27">
        <f t="shared" si="11"/>
        <v>0</v>
      </c>
      <c r="L155" s="28">
        <f>IF(A155="","",C155*'Menu Productos'!$F$5+D155*'Menu Productos'!$F$6+E155*'Menu Productos'!$F$7+F155*'Menu Productos'!$F$8+G155*'Menu Productos'!$F$9+H155*'Menu Productos'!$F$10+I155*'Menu Productos'!$F$11+J155*'Menu Productos'!$F$12)</f>
        <v>0</v>
      </c>
      <c r="M155" s="28">
        <f>IF(A155="","",C155*'Menu Productos'!$E$5+D155*'Menu Productos'!$E$6+E155*'Menu Productos'!$E$7+F155*'Menu Productos'!$E$8+G155*'Menu Productos'!$E$9+H155*'Menu Productos'!$E$10+I155*'Menu Productos'!$E$11+J155*'Menu Productos'!$E$12)</f>
        <v>0</v>
      </c>
      <c r="N155" s="29"/>
      <c r="O155" s="28">
        <f t="shared" si="12"/>
        <v>0</v>
      </c>
      <c r="P155" s="29"/>
      <c r="Q155" s="29"/>
      <c r="R155" s="29"/>
      <c r="S155" s="28">
        <f t="shared" si="13"/>
        <v>0</v>
      </c>
      <c r="T155" s="28">
        <f t="shared" si="14"/>
        <v>0</v>
      </c>
      <c r="U155" s="12"/>
      <c r="V155" s="12" t="str">
        <f ca="1">IF(A155&gt;TODAY(),"FUTURO",IF(AND(K155=0,N155=0,S155=0),"SIN MOVIMIENTO",IF(ABS(T155)&lt;='Metas y Control'!$B$6,"OK","REVISAR CAJA")))</f>
        <v>SIN MOVIMIENTO</v>
      </c>
    </row>
    <row r="156" spans="1:22" x14ac:dyDescent="0.3">
      <c r="A156" s="25">
        <f>IF(YEAR(A155+1)=Dashboard!$B$2,A155+1,"")</f>
        <v>46174</v>
      </c>
      <c r="B156" s="26" t="str">
        <f t="shared" si="10"/>
        <v>junio</v>
      </c>
      <c r="C156" s="24"/>
      <c r="D156" s="24"/>
      <c r="E156" s="24"/>
      <c r="F156" s="24"/>
      <c r="G156" s="24"/>
      <c r="H156" s="24"/>
      <c r="I156" s="24"/>
      <c r="J156" s="24"/>
      <c r="K156" s="27">
        <f t="shared" si="11"/>
        <v>0</v>
      </c>
      <c r="L156" s="28">
        <f>IF(A156="","",C156*'Menu Productos'!$F$5+D156*'Menu Productos'!$F$6+E156*'Menu Productos'!$F$7+F156*'Menu Productos'!$F$8+G156*'Menu Productos'!$F$9+H156*'Menu Productos'!$F$10+I156*'Menu Productos'!$F$11+J156*'Menu Productos'!$F$12)</f>
        <v>0</v>
      </c>
      <c r="M156" s="28">
        <f>IF(A156="","",C156*'Menu Productos'!$E$5+D156*'Menu Productos'!$E$6+E156*'Menu Productos'!$E$7+F156*'Menu Productos'!$E$8+G156*'Menu Productos'!$E$9+H156*'Menu Productos'!$E$10+I156*'Menu Productos'!$E$11+J156*'Menu Productos'!$E$12)</f>
        <v>0</v>
      </c>
      <c r="N156" s="29"/>
      <c r="O156" s="28">
        <f t="shared" si="12"/>
        <v>0</v>
      </c>
      <c r="P156" s="29"/>
      <c r="Q156" s="29"/>
      <c r="R156" s="29"/>
      <c r="S156" s="28">
        <f t="shared" si="13"/>
        <v>0</v>
      </c>
      <c r="T156" s="28">
        <f t="shared" si="14"/>
        <v>0</v>
      </c>
      <c r="U156" s="12"/>
      <c r="V156" s="12" t="str">
        <f ca="1">IF(A156&gt;TODAY(),"FUTURO",IF(AND(K156=0,N156=0,S156=0),"SIN MOVIMIENTO",IF(ABS(T156)&lt;='Metas y Control'!$B$6,"OK","REVISAR CAJA")))</f>
        <v>SIN MOVIMIENTO</v>
      </c>
    </row>
    <row r="157" spans="1:22" x14ac:dyDescent="0.3">
      <c r="A157" s="25">
        <f>IF(YEAR(A156+1)=Dashboard!$B$2,A156+1,"")</f>
        <v>46175</v>
      </c>
      <c r="B157" s="26" t="str">
        <f t="shared" si="10"/>
        <v>junio</v>
      </c>
      <c r="C157" s="24"/>
      <c r="D157" s="24"/>
      <c r="E157" s="24"/>
      <c r="F157" s="24"/>
      <c r="G157" s="24"/>
      <c r="H157" s="24"/>
      <c r="I157" s="24"/>
      <c r="J157" s="24"/>
      <c r="K157" s="27">
        <f t="shared" si="11"/>
        <v>0</v>
      </c>
      <c r="L157" s="28">
        <f>IF(A157="","",C157*'Menu Productos'!$F$5+D157*'Menu Productos'!$F$6+E157*'Menu Productos'!$F$7+F157*'Menu Productos'!$F$8+G157*'Menu Productos'!$F$9+H157*'Menu Productos'!$F$10+I157*'Menu Productos'!$F$11+J157*'Menu Productos'!$F$12)</f>
        <v>0</v>
      </c>
      <c r="M157" s="28">
        <f>IF(A157="","",C157*'Menu Productos'!$E$5+D157*'Menu Productos'!$E$6+E157*'Menu Productos'!$E$7+F157*'Menu Productos'!$E$8+G157*'Menu Productos'!$E$9+H157*'Menu Productos'!$E$10+I157*'Menu Productos'!$E$11+J157*'Menu Productos'!$E$12)</f>
        <v>0</v>
      </c>
      <c r="N157" s="29"/>
      <c r="O157" s="28">
        <f t="shared" si="12"/>
        <v>0</v>
      </c>
      <c r="P157" s="29"/>
      <c r="Q157" s="29"/>
      <c r="R157" s="29"/>
      <c r="S157" s="28">
        <f t="shared" si="13"/>
        <v>0</v>
      </c>
      <c r="T157" s="28">
        <f t="shared" si="14"/>
        <v>0</v>
      </c>
      <c r="U157" s="12"/>
      <c r="V157" s="12" t="str">
        <f ca="1">IF(A157&gt;TODAY(),"FUTURO",IF(AND(K157=0,N157=0,S157=0),"SIN MOVIMIENTO",IF(ABS(T157)&lt;='Metas y Control'!$B$6,"OK","REVISAR CAJA")))</f>
        <v>SIN MOVIMIENTO</v>
      </c>
    </row>
    <row r="158" spans="1:22" x14ac:dyDescent="0.3">
      <c r="A158" s="25">
        <f>IF(YEAR(A157+1)=Dashboard!$B$2,A157+1,"")</f>
        <v>46176</v>
      </c>
      <c r="B158" s="26" t="str">
        <f t="shared" si="10"/>
        <v>junio</v>
      </c>
      <c r="C158" s="24"/>
      <c r="D158" s="24"/>
      <c r="E158" s="24"/>
      <c r="F158" s="24"/>
      <c r="G158" s="24"/>
      <c r="H158" s="24"/>
      <c r="I158" s="24"/>
      <c r="J158" s="24"/>
      <c r="K158" s="27">
        <f t="shared" si="11"/>
        <v>0</v>
      </c>
      <c r="L158" s="28">
        <f>IF(A158="","",C158*'Menu Productos'!$F$5+D158*'Menu Productos'!$F$6+E158*'Menu Productos'!$F$7+F158*'Menu Productos'!$F$8+G158*'Menu Productos'!$F$9+H158*'Menu Productos'!$F$10+I158*'Menu Productos'!$F$11+J158*'Menu Productos'!$F$12)</f>
        <v>0</v>
      </c>
      <c r="M158" s="28">
        <f>IF(A158="","",C158*'Menu Productos'!$E$5+D158*'Menu Productos'!$E$6+E158*'Menu Productos'!$E$7+F158*'Menu Productos'!$E$8+G158*'Menu Productos'!$E$9+H158*'Menu Productos'!$E$10+I158*'Menu Productos'!$E$11+J158*'Menu Productos'!$E$12)</f>
        <v>0</v>
      </c>
      <c r="N158" s="29"/>
      <c r="O158" s="28">
        <f t="shared" si="12"/>
        <v>0</v>
      </c>
      <c r="P158" s="29"/>
      <c r="Q158" s="29"/>
      <c r="R158" s="29"/>
      <c r="S158" s="28">
        <f t="shared" si="13"/>
        <v>0</v>
      </c>
      <c r="T158" s="28">
        <f t="shared" si="14"/>
        <v>0</v>
      </c>
      <c r="U158" s="12"/>
      <c r="V158" s="12" t="str">
        <f ca="1">IF(A158&gt;TODAY(),"FUTURO",IF(AND(K158=0,N158=0,S158=0),"SIN MOVIMIENTO",IF(ABS(T158)&lt;='Metas y Control'!$B$6,"OK","REVISAR CAJA")))</f>
        <v>SIN MOVIMIENTO</v>
      </c>
    </row>
    <row r="159" spans="1:22" x14ac:dyDescent="0.3">
      <c r="A159" s="25">
        <f>IF(YEAR(A158+1)=Dashboard!$B$2,A158+1,"")</f>
        <v>46177</v>
      </c>
      <c r="B159" s="26" t="str">
        <f t="shared" si="10"/>
        <v>junio</v>
      </c>
      <c r="C159" s="24"/>
      <c r="D159" s="24"/>
      <c r="E159" s="24"/>
      <c r="F159" s="24"/>
      <c r="G159" s="24"/>
      <c r="H159" s="24"/>
      <c r="I159" s="24"/>
      <c r="J159" s="24"/>
      <c r="K159" s="27">
        <f t="shared" si="11"/>
        <v>0</v>
      </c>
      <c r="L159" s="28">
        <f>IF(A159="","",C159*'Menu Productos'!$F$5+D159*'Menu Productos'!$F$6+E159*'Menu Productos'!$F$7+F159*'Menu Productos'!$F$8+G159*'Menu Productos'!$F$9+H159*'Menu Productos'!$F$10+I159*'Menu Productos'!$F$11+J159*'Menu Productos'!$F$12)</f>
        <v>0</v>
      </c>
      <c r="M159" s="28">
        <f>IF(A159="","",C159*'Menu Productos'!$E$5+D159*'Menu Productos'!$E$6+E159*'Menu Productos'!$E$7+F159*'Menu Productos'!$E$8+G159*'Menu Productos'!$E$9+H159*'Menu Productos'!$E$10+I159*'Menu Productos'!$E$11+J159*'Menu Productos'!$E$12)</f>
        <v>0</v>
      </c>
      <c r="N159" s="29"/>
      <c r="O159" s="28">
        <f t="shared" si="12"/>
        <v>0</v>
      </c>
      <c r="P159" s="29"/>
      <c r="Q159" s="29"/>
      <c r="R159" s="29"/>
      <c r="S159" s="28">
        <f t="shared" si="13"/>
        <v>0</v>
      </c>
      <c r="T159" s="28">
        <f t="shared" si="14"/>
        <v>0</v>
      </c>
      <c r="U159" s="12"/>
      <c r="V159" s="12" t="str">
        <f ca="1">IF(A159&gt;TODAY(),"FUTURO",IF(AND(K159=0,N159=0,S159=0),"SIN MOVIMIENTO",IF(ABS(T159)&lt;='Metas y Control'!$B$6,"OK","REVISAR CAJA")))</f>
        <v>SIN MOVIMIENTO</v>
      </c>
    </row>
    <row r="160" spans="1:22" x14ac:dyDescent="0.3">
      <c r="A160" s="25">
        <f>IF(YEAR(A159+1)=Dashboard!$B$2,A159+1,"")</f>
        <v>46178</v>
      </c>
      <c r="B160" s="26" t="str">
        <f t="shared" si="10"/>
        <v>junio</v>
      </c>
      <c r="C160" s="24"/>
      <c r="D160" s="24"/>
      <c r="E160" s="24"/>
      <c r="F160" s="24"/>
      <c r="G160" s="24"/>
      <c r="H160" s="24"/>
      <c r="I160" s="24"/>
      <c r="J160" s="24"/>
      <c r="K160" s="27">
        <f t="shared" si="11"/>
        <v>0</v>
      </c>
      <c r="L160" s="28">
        <f>IF(A160="","",C160*'Menu Productos'!$F$5+D160*'Menu Productos'!$F$6+E160*'Menu Productos'!$F$7+F160*'Menu Productos'!$F$8+G160*'Menu Productos'!$F$9+H160*'Menu Productos'!$F$10+I160*'Menu Productos'!$F$11+J160*'Menu Productos'!$F$12)</f>
        <v>0</v>
      </c>
      <c r="M160" s="28">
        <f>IF(A160="","",C160*'Menu Productos'!$E$5+D160*'Menu Productos'!$E$6+E160*'Menu Productos'!$E$7+F160*'Menu Productos'!$E$8+G160*'Menu Productos'!$E$9+H160*'Menu Productos'!$E$10+I160*'Menu Productos'!$E$11+J160*'Menu Productos'!$E$12)</f>
        <v>0</v>
      </c>
      <c r="N160" s="29"/>
      <c r="O160" s="28">
        <f t="shared" si="12"/>
        <v>0</v>
      </c>
      <c r="P160" s="29"/>
      <c r="Q160" s="29"/>
      <c r="R160" s="29"/>
      <c r="S160" s="28">
        <f t="shared" si="13"/>
        <v>0</v>
      </c>
      <c r="T160" s="28">
        <f t="shared" si="14"/>
        <v>0</v>
      </c>
      <c r="U160" s="12"/>
      <c r="V160" s="12" t="str">
        <f ca="1">IF(A160&gt;TODAY(),"FUTURO",IF(AND(K160=0,N160=0,S160=0),"SIN MOVIMIENTO",IF(ABS(T160)&lt;='Metas y Control'!$B$6,"OK","REVISAR CAJA")))</f>
        <v>SIN MOVIMIENTO</v>
      </c>
    </row>
    <row r="161" spans="1:22" x14ac:dyDescent="0.3">
      <c r="A161" s="25">
        <f>IF(YEAR(A160+1)=Dashboard!$B$2,A160+1,"")</f>
        <v>46179</v>
      </c>
      <c r="B161" s="26" t="str">
        <f t="shared" si="10"/>
        <v>junio</v>
      </c>
      <c r="C161" s="24"/>
      <c r="D161" s="24"/>
      <c r="E161" s="24"/>
      <c r="F161" s="24"/>
      <c r="G161" s="24"/>
      <c r="H161" s="24"/>
      <c r="I161" s="24"/>
      <c r="J161" s="24"/>
      <c r="K161" s="27">
        <f t="shared" si="11"/>
        <v>0</v>
      </c>
      <c r="L161" s="28">
        <f>IF(A161="","",C161*'Menu Productos'!$F$5+D161*'Menu Productos'!$F$6+E161*'Menu Productos'!$F$7+F161*'Menu Productos'!$F$8+G161*'Menu Productos'!$F$9+H161*'Menu Productos'!$F$10+I161*'Menu Productos'!$F$11+J161*'Menu Productos'!$F$12)</f>
        <v>0</v>
      </c>
      <c r="M161" s="28">
        <f>IF(A161="","",C161*'Menu Productos'!$E$5+D161*'Menu Productos'!$E$6+E161*'Menu Productos'!$E$7+F161*'Menu Productos'!$E$8+G161*'Menu Productos'!$E$9+H161*'Menu Productos'!$E$10+I161*'Menu Productos'!$E$11+J161*'Menu Productos'!$E$12)</f>
        <v>0</v>
      </c>
      <c r="N161" s="29"/>
      <c r="O161" s="28">
        <f t="shared" si="12"/>
        <v>0</v>
      </c>
      <c r="P161" s="29"/>
      <c r="Q161" s="29"/>
      <c r="R161" s="29"/>
      <c r="S161" s="28">
        <f t="shared" si="13"/>
        <v>0</v>
      </c>
      <c r="T161" s="28">
        <f t="shared" si="14"/>
        <v>0</v>
      </c>
      <c r="U161" s="12"/>
      <c r="V161" s="12" t="str">
        <f ca="1">IF(A161&gt;TODAY(),"FUTURO",IF(AND(K161=0,N161=0,S161=0),"SIN MOVIMIENTO",IF(ABS(T161)&lt;='Metas y Control'!$B$6,"OK","REVISAR CAJA")))</f>
        <v>SIN MOVIMIENTO</v>
      </c>
    </row>
    <row r="162" spans="1:22" x14ac:dyDescent="0.3">
      <c r="A162" s="25">
        <f>IF(YEAR(A161+1)=Dashboard!$B$2,A161+1,"")</f>
        <v>46180</v>
      </c>
      <c r="B162" s="26" t="str">
        <f t="shared" si="10"/>
        <v>junio</v>
      </c>
      <c r="C162" s="24"/>
      <c r="D162" s="24"/>
      <c r="E162" s="24"/>
      <c r="F162" s="24"/>
      <c r="G162" s="24"/>
      <c r="H162" s="24"/>
      <c r="I162" s="24"/>
      <c r="J162" s="24"/>
      <c r="K162" s="27">
        <f t="shared" si="11"/>
        <v>0</v>
      </c>
      <c r="L162" s="28">
        <f>IF(A162="","",C162*'Menu Productos'!$F$5+D162*'Menu Productos'!$F$6+E162*'Menu Productos'!$F$7+F162*'Menu Productos'!$F$8+G162*'Menu Productos'!$F$9+H162*'Menu Productos'!$F$10+I162*'Menu Productos'!$F$11+J162*'Menu Productos'!$F$12)</f>
        <v>0</v>
      </c>
      <c r="M162" s="28">
        <f>IF(A162="","",C162*'Menu Productos'!$E$5+D162*'Menu Productos'!$E$6+E162*'Menu Productos'!$E$7+F162*'Menu Productos'!$E$8+G162*'Menu Productos'!$E$9+H162*'Menu Productos'!$E$10+I162*'Menu Productos'!$E$11+J162*'Menu Productos'!$E$12)</f>
        <v>0</v>
      </c>
      <c r="N162" s="29"/>
      <c r="O162" s="28">
        <f t="shared" si="12"/>
        <v>0</v>
      </c>
      <c r="P162" s="29"/>
      <c r="Q162" s="29"/>
      <c r="R162" s="29"/>
      <c r="S162" s="28">
        <f t="shared" si="13"/>
        <v>0</v>
      </c>
      <c r="T162" s="28">
        <f t="shared" si="14"/>
        <v>0</v>
      </c>
      <c r="U162" s="12"/>
      <c r="V162" s="12" t="str">
        <f ca="1">IF(A162&gt;TODAY(),"FUTURO",IF(AND(K162=0,N162=0,S162=0),"SIN MOVIMIENTO",IF(ABS(T162)&lt;='Metas y Control'!$B$6,"OK","REVISAR CAJA")))</f>
        <v>SIN MOVIMIENTO</v>
      </c>
    </row>
    <row r="163" spans="1:22" x14ac:dyDescent="0.3">
      <c r="A163" s="25">
        <f>IF(YEAR(A162+1)=Dashboard!$B$2,A162+1,"")</f>
        <v>46181</v>
      </c>
      <c r="B163" s="26" t="str">
        <f t="shared" si="10"/>
        <v>junio</v>
      </c>
      <c r="C163" s="24"/>
      <c r="D163" s="24"/>
      <c r="E163" s="24"/>
      <c r="F163" s="24"/>
      <c r="G163" s="24"/>
      <c r="H163" s="24"/>
      <c r="I163" s="24"/>
      <c r="J163" s="24"/>
      <c r="K163" s="27">
        <f t="shared" si="11"/>
        <v>0</v>
      </c>
      <c r="L163" s="28">
        <f>IF(A163="","",C163*'Menu Productos'!$F$5+D163*'Menu Productos'!$F$6+E163*'Menu Productos'!$F$7+F163*'Menu Productos'!$F$8+G163*'Menu Productos'!$F$9+H163*'Menu Productos'!$F$10+I163*'Menu Productos'!$F$11+J163*'Menu Productos'!$F$12)</f>
        <v>0</v>
      </c>
      <c r="M163" s="28">
        <f>IF(A163="","",C163*'Menu Productos'!$E$5+D163*'Menu Productos'!$E$6+E163*'Menu Productos'!$E$7+F163*'Menu Productos'!$E$8+G163*'Menu Productos'!$E$9+H163*'Menu Productos'!$E$10+I163*'Menu Productos'!$E$11+J163*'Menu Productos'!$E$12)</f>
        <v>0</v>
      </c>
      <c r="N163" s="29"/>
      <c r="O163" s="28">
        <f t="shared" si="12"/>
        <v>0</v>
      </c>
      <c r="P163" s="29"/>
      <c r="Q163" s="29"/>
      <c r="R163" s="29"/>
      <c r="S163" s="28">
        <f t="shared" si="13"/>
        <v>0</v>
      </c>
      <c r="T163" s="28">
        <f t="shared" si="14"/>
        <v>0</v>
      </c>
      <c r="U163" s="12"/>
      <c r="V163" s="12" t="str">
        <f ca="1">IF(A163&gt;TODAY(),"FUTURO",IF(AND(K163=0,N163=0,S163=0),"SIN MOVIMIENTO",IF(ABS(T163)&lt;='Metas y Control'!$B$6,"OK","REVISAR CAJA")))</f>
        <v>SIN MOVIMIENTO</v>
      </c>
    </row>
    <row r="164" spans="1:22" x14ac:dyDescent="0.3">
      <c r="A164" s="25">
        <f>IF(YEAR(A163+1)=Dashboard!$B$2,A163+1,"")</f>
        <v>46182</v>
      </c>
      <c r="B164" s="26" t="str">
        <f t="shared" si="10"/>
        <v>junio</v>
      </c>
      <c r="C164" s="24"/>
      <c r="D164" s="24"/>
      <c r="E164" s="24"/>
      <c r="F164" s="24"/>
      <c r="G164" s="24"/>
      <c r="H164" s="24"/>
      <c r="I164" s="24"/>
      <c r="J164" s="24"/>
      <c r="K164" s="27">
        <f t="shared" si="11"/>
        <v>0</v>
      </c>
      <c r="L164" s="28">
        <f>IF(A164="","",C164*'Menu Productos'!$F$5+D164*'Menu Productos'!$F$6+E164*'Menu Productos'!$F$7+F164*'Menu Productos'!$F$8+G164*'Menu Productos'!$F$9+H164*'Menu Productos'!$F$10+I164*'Menu Productos'!$F$11+J164*'Menu Productos'!$F$12)</f>
        <v>0</v>
      </c>
      <c r="M164" s="28">
        <f>IF(A164="","",C164*'Menu Productos'!$E$5+D164*'Menu Productos'!$E$6+E164*'Menu Productos'!$E$7+F164*'Menu Productos'!$E$8+G164*'Menu Productos'!$E$9+H164*'Menu Productos'!$E$10+I164*'Menu Productos'!$E$11+J164*'Menu Productos'!$E$12)</f>
        <v>0</v>
      </c>
      <c r="N164" s="29"/>
      <c r="O164" s="28">
        <f t="shared" si="12"/>
        <v>0</v>
      </c>
      <c r="P164" s="29"/>
      <c r="Q164" s="29"/>
      <c r="R164" s="29"/>
      <c r="S164" s="28">
        <f t="shared" si="13"/>
        <v>0</v>
      </c>
      <c r="T164" s="28">
        <f t="shared" si="14"/>
        <v>0</v>
      </c>
      <c r="U164" s="12"/>
      <c r="V164" s="12" t="str">
        <f ca="1">IF(A164&gt;TODAY(),"FUTURO",IF(AND(K164=0,N164=0,S164=0),"SIN MOVIMIENTO",IF(ABS(T164)&lt;='Metas y Control'!$B$6,"OK","REVISAR CAJA")))</f>
        <v>SIN MOVIMIENTO</v>
      </c>
    </row>
    <row r="165" spans="1:22" x14ac:dyDescent="0.3">
      <c r="A165" s="25">
        <f>IF(YEAR(A164+1)=Dashboard!$B$2,A164+1,"")</f>
        <v>46183</v>
      </c>
      <c r="B165" s="26" t="str">
        <f t="shared" si="10"/>
        <v>junio</v>
      </c>
      <c r="C165" s="24"/>
      <c r="D165" s="24"/>
      <c r="E165" s="24"/>
      <c r="F165" s="24"/>
      <c r="G165" s="24"/>
      <c r="H165" s="24"/>
      <c r="I165" s="24"/>
      <c r="J165" s="24"/>
      <c r="K165" s="27">
        <f t="shared" si="11"/>
        <v>0</v>
      </c>
      <c r="L165" s="28">
        <f>IF(A165="","",C165*'Menu Productos'!$F$5+D165*'Menu Productos'!$F$6+E165*'Menu Productos'!$F$7+F165*'Menu Productos'!$F$8+G165*'Menu Productos'!$F$9+H165*'Menu Productos'!$F$10+I165*'Menu Productos'!$F$11+J165*'Menu Productos'!$F$12)</f>
        <v>0</v>
      </c>
      <c r="M165" s="28">
        <f>IF(A165="","",C165*'Menu Productos'!$E$5+D165*'Menu Productos'!$E$6+E165*'Menu Productos'!$E$7+F165*'Menu Productos'!$E$8+G165*'Menu Productos'!$E$9+H165*'Menu Productos'!$E$10+I165*'Menu Productos'!$E$11+J165*'Menu Productos'!$E$12)</f>
        <v>0</v>
      </c>
      <c r="N165" s="29"/>
      <c r="O165" s="28">
        <f t="shared" si="12"/>
        <v>0</v>
      </c>
      <c r="P165" s="29"/>
      <c r="Q165" s="29"/>
      <c r="R165" s="29"/>
      <c r="S165" s="28">
        <f t="shared" si="13"/>
        <v>0</v>
      </c>
      <c r="T165" s="28">
        <f t="shared" si="14"/>
        <v>0</v>
      </c>
      <c r="U165" s="12"/>
      <c r="V165" s="12" t="str">
        <f ca="1">IF(A165&gt;TODAY(),"FUTURO",IF(AND(K165=0,N165=0,S165=0),"SIN MOVIMIENTO",IF(ABS(T165)&lt;='Metas y Control'!$B$6,"OK","REVISAR CAJA")))</f>
        <v>SIN MOVIMIENTO</v>
      </c>
    </row>
    <row r="166" spans="1:22" x14ac:dyDescent="0.3">
      <c r="A166" s="25">
        <f>IF(YEAR(A165+1)=Dashboard!$B$2,A165+1,"")</f>
        <v>46184</v>
      </c>
      <c r="B166" s="26" t="str">
        <f t="shared" si="10"/>
        <v>junio</v>
      </c>
      <c r="C166" s="24"/>
      <c r="D166" s="24"/>
      <c r="E166" s="24"/>
      <c r="F166" s="24"/>
      <c r="G166" s="24"/>
      <c r="H166" s="24"/>
      <c r="I166" s="24"/>
      <c r="J166" s="24"/>
      <c r="K166" s="27">
        <f t="shared" si="11"/>
        <v>0</v>
      </c>
      <c r="L166" s="28">
        <f>IF(A166="","",C166*'Menu Productos'!$F$5+D166*'Menu Productos'!$F$6+E166*'Menu Productos'!$F$7+F166*'Menu Productos'!$F$8+G166*'Menu Productos'!$F$9+H166*'Menu Productos'!$F$10+I166*'Menu Productos'!$F$11+J166*'Menu Productos'!$F$12)</f>
        <v>0</v>
      </c>
      <c r="M166" s="28">
        <f>IF(A166="","",C166*'Menu Productos'!$E$5+D166*'Menu Productos'!$E$6+E166*'Menu Productos'!$E$7+F166*'Menu Productos'!$E$8+G166*'Menu Productos'!$E$9+H166*'Menu Productos'!$E$10+I166*'Menu Productos'!$E$11+J166*'Menu Productos'!$E$12)</f>
        <v>0</v>
      </c>
      <c r="N166" s="29"/>
      <c r="O166" s="28">
        <f t="shared" si="12"/>
        <v>0</v>
      </c>
      <c r="P166" s="29"/>
      <c r="Q166" s="29"/>
      <c r="R166" s="29"/>
      <c r="S166" s="28">
        <f t="shared" si="13"/>
        <v>0</v>
      </c>
      <c r="T166" s="28">
        <f t="shared" si="14"/>
        <v>0</v>
      </c>
      <c r="U166" s="12"/>
      <c r="V166" s="12" t="str">
        <f ca="1">IF(A166&gt;TODAY(),"FUTURO",IF(AND(K166=0,N166=0,S166=0),"SIN MOVIMIENTO",IF(ABS(T166)&lt;='Metas y Control'!$B$6,"OK","REVISAR CAJA")))</f>
        <v>SIN MOVIMIENTO</v>
      </c>
    </row>
    <row r="167" spans="1:22" x14ac:dyDescent="0.3">
      <c r="A167" s="25">
        <f>IF(YEAR(A166+1)=Dashboard!$B$2,A166+1,"")</f>
        <v>46185</v>
      </c>
      <c r="B167" s="26" t="str">
        <f t="shared" si="10"/>
        <v>junio</v>
      </c>
      <c r="C167" s="24"/>
      <c r="D167" s="24"/>
      <c r="E167" s="24"/>
      <c r="F167" s="24"/>
      <c r="G167" s="24"/>
      <c r="H167" s="24"/>
      <c r="I167" s="24"/>
      <c r="J167" s="24"/>
      <c r="K167" s="27">
        <f t="shared" si="11"/>
        <v>0</v>
      </c>
      <c r="L167" s="28">
        <f>IF(A167="","",C167*'Menu Productos'!$F$5+D167*'Menu Productos'!$F$6+E167*'Menu Productos'!$F$7+F167*'Menu Productos'!$F$8+G167*'Menu Productos'!$F$9+H167*'Menu Productos'!$F$10+I167*'Menu Productos'!$F$11+J167*'Menu Productos'!$F$12)</f>
        <v>0</v>
      </c>
      <c r="M167" s="28">
        <f>IF(A167="","",C167*'Menu Productos'!$E$5+D167*'Menu Productos'!$E$6+E167*'Menu Productos'!$E$7+F167*'Menu Productos'!$E$8+G167*'Menu Productos'!$E$9+H167*'Menu Productos'!$E$10+I167*'Menu Productos'!$E$11+J167*'Menu Productos'!$E$12)</f>
        <v>0</v>
      </c>
      <c r="N167" s="29"/>
      <c r="O167" s="28">
        <f t="shared" si="12"/>
        <v>0</v>
      </c>
      <c r="P167" s="29"/>
      <c r="Q167" s="29"/>
      <c r="R167" s="29"/>
      <c r="S167" s="28">
        <f t="shared" si="13"/>
        <v>0</v>
      </c>
      <c r="T167" s="28">
        <f t="shared" si="14"/>
        <v>0</v>
      </c>
      <c r="U167" s="12"/>
      <c r="V167" s="12" t="str">
        <f ca="1">IF(A167&gt;TODAY(),"FUTURO",IF(AND(K167=0,N167=0,S167=0),"SIN MOVIMIENTO",IF(ABS(T167)&lt;='Metas y Control'!$B$6,"OK","REVISAR CAJA")))</f>
        <v>SIN MOVIMIENTO</v>
      </c>
    </row>
    <row r="168" spans="1:22" x14ac:dyDescent="0.3">
      <c r="A168" s="25">
        <f>IF(YEAR(A167+1)=Dashboard!$B$2,A167+1,"")</f>
        <v>46186</v>
      </c>
      <c r="B168" s="26" t="str">
        <f t="shared" si="10"/>
        <v>junio</v>
      </c>
      <c r="C168" s="24"/>
      <c r="D168" s="24"/>
      <c r="E168" s="24"/>
      <c r="F168" s="24"/>
      <c r="G168" s="24"/>
      <c r="H168" s="24"/>
      <c r="I168" s="24"/>
      <c r="J168" s="24"/>
      <c r="K168" s="27">
        <f t="shared" si="11"/>
        <v>0</v>
      </c>
      <c r="L168" s="28">
        <f>IF(A168="","",C168*'Menu Productos'!$F$5+D168*'Menu Productos'!$F$6+E168*'Menu Productos'!$F$7+F168*'Menu Productos'!$F$8+G168*'Menu Productos'!$F$9+H168*'Menu Productos'!$F$10+I168*'Menu Productos'!$F$11+J168*'Menu Productos'!$F$12)</f>
        <v>0</v>
      </c>
      <c r="M168" s="28">
        <f>IF(A168="","",C168*'Menu Productos'!$E$5+D168*'Menu Productos'!$E$6+E168*'Menu Productos'!$E$7+F168*'Menu Productos'!$E$8+G168*'Menu Productos'!$E$9+H168*'Menu Productos'!$E$10+I168*'Menu Productos'!$E$11+J168*'Menu Productos'!$E$12)</f>
        <v>0</v>
      </c>
      <c r="N168" s="29"/>
      <c r="O168" s="28">
        <f t="shared" si="12"/>
        <v>0</v>
      </c>
      <c r="P168" s="29"/>
      <c r="Q168" s="29"/>
      <c r="R168" s="29"/>
      <c r="S168" s="28">
        <f t="shared" si="13"/>
        <v>0</v>
      </c>
      <c r="T168" s="28">
        <f t="shared" si="14"/>
        <v>0</v>
      </c>
      <c r="U168" s="12"/>
      <c r="V168" s="12" t="str">
        <f ca="1">IF(A168&gt;TODAY(),"FUTURO",IF(AND(K168=0,N168=0,S168=0),"SIN MOVIMIENTO",IF(ABS(T168)&lt;='Metas y Control'!$B$6,"OK","REVISAR CAJA")))</f>
        <v>SIN MOVIMIENTO</v>
      </c>
    </row>
    <row r="169" spans="1:22" x14ac:dyDescent="0.3">
      <c r="A169" s="25">
        <f>IF(YEAR(A168+1)=Dashboard!$B$2,A168+1,"")</f>
        <v>46187</v>
      </c>
      <c r="B169" s="26" t="str">
        <f t="shared" si="10"/>
        <v>junio</v>
      </c>
      <c r="C169" s="24"/>
      <c r="D169" s="24"/>
      <c r="E169" s="24"/>
      <c r="F169" s="24"/>
      <c r="G169" s="24"/>
      <c r="H169" s="24"/>
      <c r="I169" s="24"/>
      <c r="J169" s="24"/>
      <c r="K169" s="27">
        <f t="shared" si="11"/>
        <v>0</v>
      </c>
      <c r="L169" s="28">
        <f>IF(A169="","",C169*'Menu Productos'!$F$5+D169*'Menu Productos'!$F$6+E169*'Menu Productos'!$F$7+F169*'Menu Productos'!$F$8+G169*'Menu Productos'!$F$9+H169*'Menu Productos'!$F$10+I169*'Menu Productos'!$F$11+J169*'Menu Productos'!$F$12)</f>
        <v>0</v>
      </c>
      <c r="M169" s="28">
        <f>IF(A169="","",C169*'Menu Productos'!$E$5+D169*'Menu Productos'!$E$6+E169*'Menu Productos'!$E$7+F169*'Menu Productos'!$E$8+G169*'Menu Productos'!$E$9+H169*'Menu Productos'!$E$10+I169*'Menu Productos'!$E$11+J169*'Menu Productos'!$E$12)</f>
        <v>0</v>
      </c>
      <c r="N169" s="29"/>
      <c r="O169" s="28">
        <f t="shared" si="12"/>
        <v>0</v>
      </c>
      <c r="P169" s="29"/>
      <c r="Q169" s="29"/>
      <c r="R169" s="29"/>
      <c r="S169" s="28">
        <f t="shared" si="13"/>
        <v>0</v>
      </c>
      <c r="T169" s="28">
        <f t="shared" si="14"/>
        <v>0</v>
      </c>
      <c r="U169" s="12"/>
      <c r="V169" s="12" t="str">
        <f ca="1">IF(A169&gt;TODAY(),"FUTURO",IF(AND(K169=0,N169=0,S169=0),"SIN MOVIMIENTO",IF(ABS(T169)&lt;='Metas y Control'!$B$6,"OK","REVISAR CAJA")))</f>
        <v>SIN MOVIMIENTO</v>
      </c>
    </row>
    <row r="170" spans="1:22" x14ac:dyDescent="0.3">
      <c r="A170" s="25">
        <f>IF(YEAR(A169+1)=Dashboard!$B$2,A169+1,"")</f>
        <v>46188</v>
      </c>
      <c r="B170" s="26" t="str">
        <f t="shared" si="10"/>
        <v>junio</v>
      </c>
      <c r="C170" s="24"/>
      <c r="D170" s="24"/>
      <c r="E170" s="24"/>
      <c r="F170" s="24"/>
      <c r="G170" s="24"/>
      <c r="H170" s="24"/>
      <c r="I170" s="24"/>
      <c r="J170" s="24"/>
      <c r="K170" s="27">
        <f t="shared" si="11"/>
        <v>0</v>
      </c>
      <c r="L170" s="28">
        <f>IF(A170="","",C170*'Menu Productos'!$F$5+D170*'Menu Productos'!$F$6+E170*'Menu Productos'!$F$7+F170*'Menu Productos'!$F$8+G170*'Menu Productos'!$F$9+H170*'Menu Productos'!$F$10+I170*'Menu Productos'!$F$11+J170*'Menu Productos'!$F$12)</f>
        <v>0</v>
      </c>
      <c r="M170" s="28">
        <f>IF(A170="","",C170*'Menu Productos'!$E$5+D170*'Menu Productos'!$E$6+E170*'Menu Productos'!$E$7+F170*'Menu Productos'!$E$8+G170*'Menu Productos'!$E$9+H170*'Menu Productos'!$E$10+I170*'Menu Productos'!$E$11+J170*'Menu Productos'!$E$12)</f>
        <v>0</v>
      </c>
      <c r="N170" s="29"/>
      <c r="O170" s="28">
        <f t="shared" si="12"/>
        <v>0</v>
      </c>
      <c r="P170" s="29"/>
      <c r="Q170" s="29"/>
      <c r="R170" s="29"/>
      <c r="S170" s="28">
        <f t="shared" si="13"/>
        <v>0</v>
      </c>
      <c r="T170" s="28">
        <f t="shared" si="14"/>
        <v>0</v>
      </c>
      <c r="U170" s="12"/>
      <c r="V170" s="12" t="str">
        <f ca="1">IF(A170&gt;TODAY(),"FUTURO",IF(AND(K170=0,N170=0,S170=0),"SIN MOVIMIENTO",IF(ABS(T170)&lt;='Metas y Control'!$B$6,"OK","REVISAR CAJA")))</f>
        <v>SIN MOVIMIENTO</v>
      </c>
    </row>
    <row r="171" spans="1:22" x14ac:dyDescent="0.3">
      <c r="A171" s="25">
        <f>IF(YEAR(A170+1)=Dashboard!$B$2,A170+1,"")</f>
        <v>46189</v>
      </c>
      <c r="B171" s="26" t="str">
        <f t="shared" si="10"/>
        <v>junio</v>
      </c>
      <c r="C171" s="24"/>
      <c r="D171" s="24"/>
      <c r="E171" s="24"/>
      <c r="F171" s="24"/>
      <c r="G171" s="24"/>
      <c r="H171" s="24"/>
      <c r="I171" s="24"/>
      <c r="J171" s="24"/>
      <c r="K171" s="27">
        <f t="shared" si="11"/>
        <v>0</v>
      </c>
      <c r="L171" s="28">
        <f>IF(A171="","",C171*'Menu Productos'!$F$5+D171*'Menu Productos'!$F$6+E171*'Menu Productos'!$F$7+F171*'Menu Productos'!$F$8+G171*'Menu Productos'!$F$9+H171*'Menu Productos'!$F$10+I171*'Menu Productos'!$F$11+J171*'Menu Productos'!$F$12)</f>
        <v>0</v>
      </c>
      <c r="M171" s="28">
        <f>IF(A171="","",C171*'Menu Productos'!$E$5+D171*'Menu Productos'!$E$6+E171*'Menu Productos'!$E$7+F171*'Menu Productos'!$E$8+G171*'Menu Productos'!$E$9+H171*'Menu Productos'!$E$10+I171*'Menu Productos'!$E$11+J171*'Menu Productos'!$E$12)</f>
        <v>0</v>
      </c>
      <c r="N171" s="29"/>
      <c r="O171" s="28">
        <f t="shared" si="12"/>
        <v>0</v>
      </c>
      <c r="P171" s="29"/>
      <c r="Q171" s="29"/>
      <c r="R171" s="29"/>
      <c r="S171" s="28">
        <f t="shared" si="13"/>
        <v>0</v>
      </c>
      <c r="T171" s="28">
        <f t="shared" si="14"/>
        <v>0</v>
      </c>
      <c r="U171" s="12"/>
      <c r="V171" s="12" t="str">
        <f ca="1">IF(A171&gt;TODAY(),"FUTURO",IF(AND(K171=0,N171=0,S171=0),"SIN MOVIMIENTO",IF(ABS(T171)&lt;='Metas y Control'!$B$6,"OK","REVISAR CAJA")))</f>
        <v>SIN MOVIMIENTO</v>
      </c>
    </row>
    <row r="172" spans="1:22" x14ac:dyDescent="0.3">
      <c r="A172" s="25">
        <f>IF(YEAR(A171+1)=Dashboard!$B$2,A171+1,"")</f>
        <v>46190</v>
      </c>
      <c r="B172" s="26" t="str">
        <f t="shared" si="10"/>
        <v>junio</v>
      </c>
      <c r="C172" s="24"/>
      <c r="D172" s="24"/>
      <c r="E172" s="24"/>
      <c r="F172" s="24"/>
      <c r="G172" s="24"/>
      <c r="H172" s="24"/>
      <c r="I172" s="24"/>
      <c r="J172" s="24"/>
      <c r="K172" s="27">
        <f t="shared" si="11"/>
        <v>0</v>
      </c>
      <c r="L172" s="28">
        <f>IF(A172="","",C172*'Menu Productos'!$F$5+D172*'Menu Productos'!$F$6+E172*'Menu Productos'!$F$7+F172*'Menu Productos'!$F$8+G172*'Menu Productos'!$F$9+H172*'Menu Productos'!$F$10+I172*'Menu Productos'!$F$11+J172*'Menu Productos'!$F$12)</f>
        <v>0</v>
      </c>
      <c r="M172" s="28">
        <f>IF(A172="","",C172*'Menu Productos'!$E$5+D172*'Menu Productos'!$E$6+E172*'Menu Productos'!$E$7+F172*'Menu Productos'!$E$8+G172*'Menu Productos'!$E$9+H172*'Menu Productos'!$E$10+I172*'Menu Productos'!$E$11+J172*'Menu Productos'!$E$12)</f>
        <v>0</v>
      </c>
      <c r="N172" s="29"/>
      <c r="O172" s="28">
        <f t="shared" si="12"/>
        <v>0</v>
      </c>
      <c r="P172" s="29"/>
      <c r="Q172" s="29"/>
      <c r="R172" s="29"/>
      <c r="S172" s="28">
        <f t="shared" si="13"/>
        <v>0</v>
      </c>
      <c r="T172" s="28">
        <f t="shared" si="14"/>
        <v>0</v>
      </c>
      <c r="U172" s="12"/>
      <c r="V172" s="12" t="str">
        <f ca="1">IF(A172&gt;TODAY(),"FUTURO",IF(AND(K172=0,N172=0,S172=0),"SIN MOVIMIENTO",IF(ABS(T172)&lt;='Metas y Control'!$B$6,"OK","REVISAR CAJA")))</f>
        <v>SIN MOVIMIENTO</v>
      </c>
    </row>
    <row r="173" spans="1:22" x14ac:dyDescent="0.3">
      <c r="A173" s="25">
        <f>IF(YEAR(A172+1)=Dashboard!$B$2,A172+1,"")</f>
        <v>46191</v>
      </c>
      <c r="B173" s="26" t="str">
        <f t="shared" si="10"/>
        <v>junio</v>
      </c>
      <c r="C173" s="24"/>
      <c r="D173" s="24"/>
      <c r="E173" s="24"/>
      <c r="F173" s="24"/>
      <c r="G173" s="24"/>
      <c r="H173" s="24"/>
      <c r="I173" s="24"/>
      <c r="J173" s="24"/>
      <c r="K173" s="27">
        <f t="shared" si="11"/>
        <v>0</v>
      </c>
      <c r="L173" s="28">
        <f>IF(A173="","",C173*'Menu Productos'!$F$5+D173*'Menu Productos'!$F$6+E173*'Menu Productos'!$F$7+F173*'Menu Productos'!$F$8+G173*'Menu Productos'!$F$9+H173*'Menu Productos'!$F$10+I173*'Menu Productos'!$F$11+J173*'Menu Productos'!$F$12)</f>
        <v>0</v>
      </c>
      <c r="M173" s="28">
        <f>IF(A173="","",C173*'Menu Productos'!$E$5+D173*'Menu Productos'!$E$6+E173*'Menu Productos'!$E$7+F173*'Menu Productos'!$E$8+G173*'Menu Productos'!$E$9+H173*'Menu Productos'!$E$10+I173*'Menu Productos'!$E$11+J173*'Menu Productos'!$E$12)</f>
        <v>0</v>
      </c>
      <c r="N173" s="29"/>
      <c r="O173" s="28">
        <f t="shared" si="12"/>
        <v>0</v>
      </c>
      <c r="P173" s="29"/>
      <c r="Q173" s="29"/>
      <c r="R173" s="29"/>
      <c r="S173" s="28">
        <f t="shared" si="13"/>
        <v>0</v>
      </c>
      <c r="T173" s="28">
        <f t="shared" si="14"/>
        <v>0</v>
      </c>
      <c r="U173" s="12"/>
      <c r="V173" s="12" t="str">
        <f ca="1">IF(A173&gt;TODAY(),"FUTURO",IF(AND(K173=0,N173=0,S173=0),"SIN MOVIMIENTO",IF(ABS(T173)&lt;='Metas y Control'!$B$6,"OK","REVISAR CAJA")))</f>
        <v>SIN MOVIMIENTO</v>
      </c>
    </row>
    <row r="174" spans="1:22" x14ac:dyDescent="0.3">
      <c r="A174" s="25">
        <f>IF(YEAR(A173+1)=Dashboard!$B$2,A173+1,"")</f>
        <v>46192</v>
      </c>
      <c r="B174" s="26" t="str">
        <f t="shared" si="10"/>
        <v>junio</v>
      </c>
      <c r="C174" s="24"/>
      <c r="D174" s="24"/>
      <c r="E174" s="24"/>
      <c r="F174" s="24"/>
      <c r="G174" s="24"/>
      <c r="H174" s="24"/>
      <c r="I174" s="24"/>
      <c r="J174" s="24"/>
      <c r="K174" s="27">
        <f t="shared" si="11"/>
        <v>0</v>
      </c>
      <c r="L174" s="28">
        <f>IF(A174="","",C174*'Menu Productos'!$F$5+D174*'Menu Productos'!$F$6+E174*'Menu Productos'!$F$7+F174*'Menu Productos'!$F$8+G174*'Menu Productos'!$F$9+H174*'Menu Productos'!$F$10+I174*'Menu Productos'!$F$11+J174*'Menu Productos'!$F$12)</f>
        <v>0</v>
      </c>
      <c r="M174" s="28">
        <f>IF(A174="","",C174*'Menu Productos'!$E$5+D174*'Menu Productos'!$E$6+E174*'Menu Productos'!$E$7+F174*'Menu Productos'!$E$8+G174*'Menu Productos'!$E$9+H174*'Menu Productos'!$E$10+I174*'Menu Productos'!$E$11+J174*'Menu Productos'!$E$12)</f>
        <v>0</v>
      </c>
      <c r="N174" s="29"/>
      <c r="O174" s="28">
        <f t="shared" si="12"/>
        <v>0</v>
      </c>
      <c r="P174" s="29"/>
      <c r="Q174" s="29"/>
      <c r="R174" s="29"/>
      <c r="S174" s="28">
        <f t="shared" si="13"/>
        <v>0</v>
      </c>
      <c r="T174" s="28">
        <f t="shared" si="14"/>
        <v>0</v>
      </c>
      <c r="U174" s="12"/>
      <c r="V174" s="12" t="str">
        <f ca="1">IF(A174&gt;TODAY(),"FUTURO",IF(AND(K174=0,N174=0,S174=0),"SIN MOVIMIENTO",IF(ABS(T174)&lt;='Metas y Control'!$B$6,"OK","REVISAR CAJA")))</f>
        <v>SIN MOVIMIENTO</v>
      </c>
    </row>
    <row r="175" spans="1:22" x14ac:dyDescent="0.3">
      <c r="A175" s="25">
        <f>IF(YEAR(A174+1)=Dashboard!$B$2,A174+1,"")</f>
        <v>46193</v>
      </c>
      <c r="B175" s="26" t="str">
        <f t="shared" si="10"/>
        <v>junio</v>
      </c>
      <c r="C175" s="24"/>
      <c r="D175" s="24"/>
      <c r="E175" s="24"/>
      <c r="F175" s="24"/>
      <c r="G175" s="24"/>
      <c r="H175" s="24"/>
      <c r="I175" s="24"/>
      <c r="J175" s="24"/>
      <c r="K175" s="27">
        <f t="shared" si="11"/>
        <v>0</v>
      </c>
      <c r="L175" s="28">
        <f>IF(A175="","",C175*'Menu Productos'!$F$5+D175*'Menu Productos'!$F$6+E175*'Menu Productos'!$F$7+F175*'Menu Productos'!$F$8+G175*'Menu Productos'!$F$9+H175*'Menu Productos'!$F$10+I175*'Menu Productos'!$F$11+J175*'Menu Productos'!$F$12)</f>
        <v>0</v>
      </c>
      <c r="M175" s="28">
        <f>IF(A175="","",C175*'Menu Productos'!$E$5+D175*'Menu Productos'!$E$6+E175*'Menu Productos'!$E$7+F175*'Menu Productos'!$E$8+G175*'Menu Productos'!$E$9+H175*'Menu Productos'!$E$10+I175*'Menu Productos'!$E$11+J175*'Menu Productos'!$E$12)</f>
        <v>0</v>
      </c>
      <c r="N175" s="29"/>
      <c r="O175" s="28">
        <f t="shared" si="12"/>
        <v>0</v>
      </c>
      <c r="P175" s="29"/>
      <c r="Q175" s="29"/>
      <c r="R175" s="29"/>
      <c r="S175" s="28">
        <f t="shared" si="13"/>
        <v>0</v>
      </c>
      <c r="T175" s="28">
        <f t="shared" si="14"/>
        <v>0</v>
      </c>
      <c r="U175" s="12"/>
      <c r="V175" s="12" t="str">
        <f ca="1">IF(A175&gt;TODAY(),"FUTURO",IF(AND(K175=0,N175=0,S175=0),"SIN MOVIMIENTO",IF(ABS(T175)&lt;='Metas y Control'!$B$6,"OK","REVISAR CAJA")))</f>
        <v>SIN MOVIMIENTO</v>
      </c>
    </row>
    <row r="176" spans="1:22" x14ac:dyDescent="0.3">
      <c r="A176" s="25">
        <f>IF(YEAR(A175+1)=Dashboard!$B$2,A175+1,"")</f>
        <v>46194</v>
      </c>
      <c r="B176" s="26" t="str">
        <f t="shared" si="10"/>
        <v>junio</v>
      </c>
      <c r="C176" s="24"/>
      <c r="D176" s="24"/>
      <c r="E176" s="24"/>
      <c r="F176" s="24"/>
      <c r="G176" s="24"/>
      <c r="H176" s="24"/>
      <c r="I176" s="24"/>
      <c r="J176" s="24"/>
      <c r="K176" s="27">
        <f t="shared" si="11"/>
        <v>0</v>
      </c>
      <c r="L176" s="28">
        <f>IF(A176="","",C176*'Menu Productos'!$F$5+D176*'Menu Productos'!$F$6+E176*'Menu Productos'!$F$7+F176*'Menu Productos'!$F$8+G176*'Menu Productos'!$F$9+H176*'Menu Productos'!$F$10+I176*'Menu Productos'!$F$11+J176*'Menu Productos'!$F$12)</f>
        <v>0</v>
      </c>
      <c r="M176" s="28">
        <f>IF(A176="","",C176*'Menu Productos'!$E$5+D176*'Menu Productos'!$E$6+E176*'Menu Productos'!$E$7+F176*'Menu Productos'!$E$8+G176*'Menu Productos'!$E$9+H176*'Menu Productos'!$E$10+I176*'Menu Productos'!$E$11+J176*'Menu Productos'!$E$12)</f>
        <v>0</v>
      </c>
      <c r="N176" s="29"/>
      <c r="O176" s="28">
        <f t="shared" si="12"/>
        <v>0</v>
      </c>
      <c r="P176" s="29"/>
      <c r="Q176" s="29"/>
      <c r="R176" s="29"/>
      <c r="S176" s="28">
        <f t="shared" si="13"/>
        <v>0</v>
      </c>
      <c r="T176" s="28">
        <f t="shared" si="14"/>
        <v>0</v>
      </c>
      <c r="U176" s="12"/>
      <c r="V176" s="12" t="str">
        <f ca="1">IF(A176&gt;TODAY(),"FUTURO",IF(AND(K176=0,N176=0,S176=0),"SIN MOVIMIENTO",IF(ABS(T176)&lt;='Metas y Control'!$B$6,"OK","REVISAR CAJA")))</f>
        <v>SIN MOVIMIENTO</v>
      </c>
    </row>
    <row r="177" spans="1:22" x14ac:dyDescent="0.3">
      <c r="A177" s="25">
        <f>IF(YEAR(A176+1)=Dashboard!$B$2,A176+1,"")</f>
        <v>46195</v>
      </c>
      <c r="B177" s="26" t="str">
        <f t="shared" si="10"/>
        <v>junio</v>
      </c>
      <c r="C177" s="24"/>
      <c r="D177" s="24"/>
      <c r="E177" s="24"/>
      <c r="F177" s="24"/>
      <c r="G177" s="24"/>
      <c r="H177" s="24"/>
      <c r="I177" s="24"/>
      <c r="J177" s="24"/>
      <c r="K177" s="27">
        <f t="shared" si="11"/>
        <v>0</v>
      </c>
      <c r="L177" s="28">
        <f>IF(A177="","",C177*'Menu Productos'!$F$5+D177*'Menu Productos'!$F$6+E177*'Menu Productos'!$F$7+F177*'Menu Productos'!$F$8+G177*'Menu Productos'!$F$9+H177*'Menu Productos'!$F$10+I177*'Menu Productos'!$F$11+J177*'Menu Productos'!$F$12)</f>
        <v>0</v>
      </c>
      <c r="M177" s="28">
        <f>IF(A177="","",C177*'Menu Productos'!$E$5+D177*'Menu Productos'!$E$6+E177*'Menu Productos'!$E$7+F177*'Menu Productos'!$E$8+G177*'Menu Productos'!$E$9+H177*'Menu Productos'!$E$10+I177*'Menu Productos'!$E$11+J177*'Menu Productos'!$E$12)</f>
        <v>0</v>
      </c>
      <c r="N177" s="29"/>
      <c r="O177" s="28">
        <f t="shared" si="12"/>
        <v>0</v>
      </c>
      <c r="P177" s="29"/>
      <c r="Q177" s="29"/>
      <c r="R177" s="29"/>
      <c r="S177" s="28">
        <f t="shared" si="13"/>
        <v>0</v>
      </c>
      <c r="T177" s="28">
        <f t="shared" si="14"/>
        <v>0</v>
      </c>
      <c r="U177" s="12"/>
      <c r="V177" s="12" t="str">
        <f ca="1">IF(A177&gt;TODAY(),"FUTURO",IF(AND(K177=0,N177=0,S177=0),"SIN MOVIMIENTO",IF(ABS(T177)&lt;='Metas y Control'!$B$6,"OK","REVISAR CAJA")))</f>
        <v>SIN MOVIMIENTO</v>
      </c>
    </row>
    <row r="178" spans="1:22" x14ac:dyDescent="0.3">
      <c r="A178" s="25">
        <f>IF(YEAR(A177+1)=Dashboard!$B$2,A177+1,"")</f>
        <v>46196</v>
      </c>
      <c r="B178" s="26" t="str">
        <f t="shared" si="10"/>
        <v>junio</v>
      </c>
      <c r="C178" s="24"/>
      <c r="D178" s="24"/>
      <c r="E178" s="24"/>
      <c r="F178" s="24"/>
      <c r="G178" s="24"/>
      <c r="H178" s="24"/>
      <c r="I178" s="24"/>
      <c r="J178" s="24"/>
      <c r="K178" s="27">
        <f t="shared" si="11"/>
        <v>0</v>
      </c>
      <c r="L178" s="28">
        <f>IF(A178="","",C178*'Menu Productos'!$F$5+D178*'Menu Productos'!$F$6+E178*'Menu Productos'!$F$7+F178*'Menu Productos'!$F$8+G178*'Menu Productos'!$F$9+H178*'Menu Productos'!$F$10+I178*'Menu Productos'!$F$11+J178*'Menu Productos'!$F$12)</f>
        <v>0</v>
      </c>
      <c r="M178" s="28">
        <f>IF(A178="","",C178*'Menu Productos'!$E$5+D178*'Menu Productos'!$E$6+E178*'Menu Productos'!$E$7+F178*'Menu Productos'!$E$8+G178*'Menu Productos'!$E$9+H178*'Menu Productos'!$E$10+I178*'Menu Productos'!$E$11+J178*'Menu Productos'!$E$12)</f>
        <v>0</v>
      </c>
      <c r="N178" s="29"/>
      <c r="O178" s="28">
        <f t="shared" si="12"/>
        <v>0</v>
      </c>
      <c r="P178" s="29"/>
      <c r="Q178" s="29"/>
      <c r="R178" s="29"/>
      <c r="S178" s="28">
        <f t="shared" si="13"/>
        <v>0</v>
      </c>
      <c r="T178" s="28">
        <f t="shared" si="14"/>
        <v>0</v>
      </c>
      <c r="U178" s="12"/>
      <c r="V178" s="12" t="str">
        <f ca="1">IF(A178&gt;TODAY(),"FUTURO",IF(AND(K178=0,N178=0,S178=0),"SIN MOVIMIENTO",IF(ABS(T178)&lt;='Metas y Control'!$B$6,"OK","REVISAR CAJA")))</f>
        <v>SIN MOVIMIENTO</v>
      </c>
    </row>
    <row r="179" spans="1:22" x14ac:dyDescent="0.3">
      <c r="A179" s="25">
        <f>IF(YEAR(A178+1)=Dashboard!$B$2,A178+1,"")</f>
        <v>46197</v>
      </c>
      <c r="B179" s="26" t="str">
        <f t="shared" si="10"/>
        <v>junio</v>
      </c>
      <c r="C179" s="24"/>
      <c r="D179" s="24"/>
      <c r="E179" s="24"/>
      <c r="F179" s="24"/>
      <c r="G179" s="24"/>
      <c r="H179" s="24"/>
      <c r="I179" s="24"/>
      <c r="J179" s="24"/>
      <c r="K179" s="27">
        <f t="shared" si="11"/>
        <v>0</v>
      </c>
      <c r="L179" s="28">
        <f>IF(A179="","",C179*'Menu Productos'!$F$5+D179*'Menu Productos'!$F$6+E179*'Menu Productos'!$F$7+F179*'Menu Productos'!$F$8+G179*'Menu Productos'!$F$9+H179*'Menu Productos'!$F$10+I179*'Menu Productos'!$F$11+J179*'Menu Productos'!$F$12)</f>
        <v>0</v>
      </c>
      <c r="M179" s="28">
        <f>IF(A179="","",C179*'Menu Productos'!$E$5+D179*'Menu Productos'!$E$6+E179*'Menu Productos'!$E$7+F179*'Menu Productos'!$E$8+G179*'Menu Productos'!$E$9+H179*'Menu Productos'!$E$10+I179*'Menu Productos'!$E$11+J179*'Menu Productos'!$E$12)</f>
        <v>0</v>
      </c>
      <c r="N179" s="29"/>
      <c r="O179" s="28">
        <f t="shared" si="12"/>
        <v>0</v>
      </c>
      <c r="P179" s="29"/>
      <c r="Q179" s="29"/>
      <c r="R179" s="29"/>
      <c r="S179" s="28">
        <f t="shared" si="13"/>
        <v>0</v>
      </c>
      <c r="T179" s="28">
        <f t="shared" si="14"/>
        <v>0</v>
      </c>
      <c r="U179" s="12"/>
      <c r="V179" s="12" t="str">
        <f ca="1">IF(A179&gt;TODAY(),"FUTURO",IF(AND(K179=0,N179=0,S179=0),"SIN MOVIMIENTO",IF(ABS(T179)&lt;='Metas y Control'!$B$6,"OK","REVISAR CAJA")))</f>
        <v>SIN MOVIMIENTO</v>
      </c>
    </row>
    <row r="180" spans="1:22" x14ac:dyDescent="0.3">
      <c r="A180" s="25">
        <f>IF(YEAR(A179+1)=Dashboard!$B$2,A179+1,"")</f>
        <v>46198</v>
      </c>
      <c r="B180" s="26" t="str">
        <f t="shared" si="10"/>
        <v>junio</v>
      </c>
      <c r="C180" s="24"/>
      <c r="D180" s="24"/>
      <c r="E180" s="24"/>
      <c r="F180" s="24"/>
      <c r="G180" s="24"/>
      <c r="H180" s="24"/>
      <c r="I180" s="24"/>
      <c r="J180" s="24"/>
      <c r="K180" s="27">
        <f t="shared" si="11"/>
        <v>0</v>
      </c>
      <c r="L180" s="28">
        <f>IF(A180="","",C180*'Menu Productos'!$F$5+D180*'Menu Productos'!$F$6+E180*'Menu Productos'!$F$7+F180*'Menu Productos'!$F$8+G180*'Menu Productos'!$F$9+H180*'Menu Productos'!$F$10+I180*'Menu Productos'!$F$11+J180*'Menu Productos'!$F$12)</f>
        <v>0</v>
      </c>
      <c r="M180" s="28">
        <f>IF(A180="","",C180*'Menu Productos'!$E$5+D180*'Menu Productos'!$E$6+E180*'Menu Productos'!$E$7+F180*'Menu Productos'!$E$8+G180*'Menu Productos'!$E$9+H180*'Menu Productos'!$E$10+I180*'Menu Productos'!$E$11+J180*'Menu Productos'!$E$12)</f>
        <v>0</v>
      </c>
      <c r="N180" s="29"/>
      <c r="O180" s="28">
        <f t="shared" si="12"/>
        <v>0</v>
      </c>
      <c r="P180" s="29"/>
      <c r="Q180" s="29"/>
      <c r="R180" s="29"/>
      <c r="S180" s="28">
        <f t="shared" si="13"/>
        <v>0</v>
      </c>
      <c r="T180" s="28">
        <f t="shared" si="14"/>
        <v>0</v>
      </c>
      <c r="U180" s="12"/>
      <c r="V180" s="12" t="str">
        <f ca="1">IF(A180&gt;TODAY(),"FUTURO",IF(AND(K180=0,N180=0,S180=0),"SIN MOVIMIENTO",IF(ABS(T180)&lt;='Metas y Control'!$B$6,"OK","REVISAR CAJA")))</f>
        <v>SIN MOVIMIENTO</v>
      </c>
    </row>
    <row r="181" spans="1:22" x14ac:dyDescent="0.3">
      <c r="A181" s="25">
        <f>IF(YEAR(A180+1)=Dashboard!$B$2,A180+1,"")</f>
        <v>46199</v>
      </c>
      <c r="B181" s="26" t="str">
        <f t="shared" si="10"/>
        <v>junio</v>
      </c>
      <c r="C181" s="24"/>
      <c r="D181" s="24"/>
      <c r="E181" s="24"/>
      <c r="F181" s="24"/>
      <c r="G181" s="24"/>
      <c r="H181" s="24"/>
      <c r="I181" s="24"/>
      <c r="J181" s="24"/>
      <c r="K181" s="27">
        <f t="shared" si="11"/>
        <v>0</v>
      </c>
      <c r="L181" s="28">
        <f>IF(A181="","",C181*'Menu Productos'!$F$5+D181*'Menu Productos'!$F$6+E181*'Menu Productos'!$F$7+F181*'Menu Productos'!$F$8+G181*'Menu Productos'!$F$9+H181*'Menu Productos'!$F$10+I181*'Menu Productos'!$F$11+J181*'Menu Productos'!$F$12)</f>
        <v>0</v>
      </c>
      <c r="M181" s="28">
        <f>IF(A181="","",C181*'Menu Productos'!$E$5+D181*'Menu Productos'!$E$6+E181*'Menu Productos'!$E$7+F181*'Menu Productos'!$E$8+G181*'Menu Productos'!$E$9+H181*'Menu Productos'!$E$10+I181*'Menu Productos'!$E$11+J181*'Menu Productos'!$E$12)</f>
        <v>0</v>
      </c>
      <c r="N181" s="29"/>
      <c r="O181" s="28">
        <f t="shared" si="12"/>
        <v>0</v>
      </c>
      <c r="P181" s="29"/>
      <c r="Q181" s="29"/>
      <c r="R181" s="29"/>
      <c r="S181" s="28">
        <f t="shared" si="13"/>
        <v>0</v>
      </c>
      <c r="T181" s="28">
        <f t="shared" si="14"/>
        <v>0</v>
      </c>
      <c r="U181" s="12"/>
      <c r="V181" s="12" t="str">
        <f ca="1">IF(A181&gt;TODAY(),"FUTURO",IF(AND(K181=0,N181=0,S181=0),"SIN MOVIMIENTO",IF(ABS(T181)&lt;='Metas y Control'!$B$6,"OK","REVISAR CAJA")))</f>
        <v>SIN MOVIMIENTO</v>
      </c>
    </row>
    <row r="182" spans="1:22" x14ac:dyDescent="0.3">
      <c r="A182" s="25">
        <f>IF(YEAR(A181+1)=Dashboard!$B$2,A181+1,"")</f>
        <v>46200</v>
      </c>
      <c r="B182" s="26" t="str">
        <f t="shared" si="10"/>
        <v>junio</v>
      </c>
      <c r="C182" s="24"/>
      <c r="D182" s="24"/>
      <c r="E182" s="24"/>
      <c r="F182" s="24"/>
      <c r="G182" s="24"/>
      <c r="H182" s="24"/>
      <c r="I182" s="24"/>
      <c r="J182" s="24"/>
      <c r="K182" s="27">
        <f t="shared" si="11"/>
        <v>0</v>
      </c>
      <c r="L182" s="28">
        <f>IF(A182="","",C182*'Menu Productos'!$F$5+D182*'Menu Productos'!$F$6+E182*'Menu Productos'!$F$7+F182*'Menu Productos'!$F$8+G182*'Menu Productos'!$F$9+H182*'Menu Productos'!$F$10+I182*'Menu Productos'!$F$11+J182*'Menu Productos'!$F$12)</f>
        <v>0</v>
      </c>
      <c r="M182" s="28">
        <f>IF(A182="","",C182*'Menu Productos'!$E$5+D182*'Menu Productos'!$E$6+E182*'Menu Productos'!$E$7+F182*'Menu Productos'!$E$8+G182*'Menu Productos'!$E$9+H182*'Menu Productos'!$E$10+I182*'Menu Productos'!$E$11+J182*'Menu Productos'!$E$12)</f>
        <v>0</v>
      </c>
      <c r="N182" s="29"/>
      <c r="O182" s="28">
        <f t="shared" si="12"/>
        <v>0</v>
      </c>
      <c r="P182" s="29"/>
      <c r="Q182" s="29"/>
      <c r="R182" s="29"/>
      <c r="S182" s="28">
        <f t="shared" si="13"/>
        <v>0</v>
      </c>
      <c r="T182" s="28">
        <f t="shared" si="14"/>
        <v>0</v>
      </c>
      <c r="U182" s="12"/>
      <c r="V182" s="12" t="str">
        <f ca="1">IF(A182&gt;TODAY(),"FUTURO",IF(AND(K182=0,N182=0,S182=0),"SIN MOVIMIENTO",IF(ABS(T182)&lt;='Metas y Control'!$B$6,"OK","REVISAR CAJA")))</f>
        <v>SIN MOVIMIENTO</v>
      </c>
    </row>
    <row r="183" spans="1:22" x14ac:dyDescent="0.3">
      <c r="A183" s="25">
        <f>IF(YEAR(A182+1)=Dashboard!$B$2,A182+1,"")</f>
        <v>46201</v>
      </c>
      <c r="B183" s="26" t="str">
        <f t="shared" si="10"/>
        <v>junio</v>
      </c>
      <c r="C183" s="24"/>
      <c r="D183" s="24"/>
      <c r="E183" s="24"/>
      <c r="F183" s="24"/>
      <c r="G183" s="24"/>
      <c r="H183" s="24"/>
      <c r="I183" s="24"/>
      <c r="J183" s="24"/>
      <c r="K183" s="27">
        <f t="shared" si="11"/>
        <v>0</v>
      </c>
      <c r="L183" s="28">
        <f>IF(A183="","",C183*'Menu Productos'!$F$5+D183*'Menu Productos'!$F$6+E183*'Menu Productos'!$F$7+F183*'Menu Productos'!$F$8+G183*'Menu Productos'!$F$9+H183*'Menu Productos'!$F$10+I183*'Menu Productos'!$F$11+J183*'Menu Productos'!$F$12)</f>
        <v>0</v>
      </c>
      <c r="M183" s="28">
        <f>IF(A183="","",C183*'Menu Productos'!$E$5+D183*'Menu Productos'!$E$6+E183*'Menu Productos'!$E$7+F183*'Menu Productos'!$E$8+G183*'Menu Productos'!$E$9+H183*'Menu Productos'!$E$10+I183*'Menu Productos'!$E$11+J183*'Menu Productos'!$E$12)</f>
        <v>0</v>
      </c>
      <c r="N183" s="29"/>
      <c r="O183" s="28">
        <f t="shared" si="12"/>
        <v>0</v>
      </c>
      <c r="P183" s="29"/>
      <c r="Q183" s="29"/>
      <c r="R183" s="29"/>
      <c r="S183" s="28">
        <f t="shared" si="13"/>
        <v>0</v>
      </c>
      <c r="T183" s="28">
        <f t="shared" si="14"/>
        <v>0</v>
      </c>
      <c r="U183" s="12"/>
      <c r="V183" s="12" t="str">
        <f ca="1">IF(A183&gt;TODAY(),"FUTURO",IF(AND(K183=0,N183=0,S183=0),"SIN MOVIMIENTO",IF(ABS(T183)&lt;='Metas y Control'!$B$6,"OK","REVISAR CAJA")))</f>
        <v>SIN MOVIMIENTO</v>
      </c>
    </row>
    <row r="184" spans="1:22" x14ac:dyDescent="0.3">
      <c r="A184" s="25">
        <f>IF(YEAR(A183+1)=Dashboard!$B$2,A183+1,"")</f>
        <v>46202</v>
      </c>
      <c r="B184" s="26" t="str">
        <f t="shared" si="10"/>
        <v>junio</v>
      </c>
      <c r="C184" s="24"/>
      <c r="D184" s="24"/>
      <c r="E184" s="24"/>
      <c r="F184" s="24"/>
      <c r="G184" s="24"/>
      <c r="H184" s="24"/>
      <c r="I184" s="24"/>
      <c r="J184" s="24"/>
      <c r="K184" s="27">
        <f t="shared" si="11"/>
        <v>0</v>
      </c>
      <c r="L184" s="28">
        <f>IF(A184="","",C184*'Menu Productos'!$F$5+D184*'Menu Productos'!$F$6+E184*'Menu Productos'!$F$7+F184*'Menu Productos'!$F$8+G184*'Menu Productos'!$F$9+H184*'Menu Productos'!$F$10+I184*'Menu Productos'!$F$11+J184*'Menu Productos'!$F$12)</f>
        <v>0</v>
      </c>
      <c r="M184" s="28">
        <f>IF(A184="","",C184*'Menu Productos'!$E$5+D184*'Menu Productos'!$E$6+E184*'Menu Productos'!$E$7+F184*'Menu Productos'!$E$8+G184*'Menu Productos'!$E$9+H184*'Menu Productos'!$E$10+I184*'Menu Productos'!$E$11+J184*'Menu Productos'!$E$12)</f>
        <v>0</v>
      </c>
      <c r="N184" s="29"/>
      <c r="O184" s="28">
        <f t="shared" si="12"/>
        <v>0</v>
      </c>
      <c r="P184" s="29"/>
      <c r="Q184" s="29"/>
      <c r="R184" s="29"/>
      <c r="S184" s="28">
        <f t="shared" si="13"/>
        <v>0</v>
      </c>
      <c r="T184" s="28">
        <f t="shared" si="14"/>
        <v>0</v>
      </c>
      <c r="U184" s="12"/>
      <c r="V184" s="12" t="str">
        <f ca="1">IF(A184&gt;TODAY(),"FUTURO",IF(AND(K184=0,N184=0,S184=0),"SIN MOVIMIENTO",IF(ABS(T184)&lt;='Metas y Control'!$B$6,"OK","REVISAR CAJA")))</f>
        <v>SIN MOVIMIENTO</v>
      </c>
    </row>
    <row r="185" spans="1:22" x14ac:dyDescent="0.3">
      <c r="A185" s="25">
        <f>IF(YEAR(A184+1)=Dashboard!$B$2,A184+1,"")</f>
        <v>46203</v>
      </c>
      <c r="B185" s="26" t="str">
        <f t="shared" si="10"/>
        <v>junio</v>
      </c>
      <c r="C185" s="24"/>
      <c r="D185" s="24"/>
      <c r="E185" s="24"/>
      <c r="F185" s="24"/>
      <c r="G185" s="24"/>
      <c r="H185" s="24"/>
      <c r="I185" s="24"/>
      <c r="J185" s="24"/>
      <c r="K185" s="27">
        <f t="shared" si="11"/>
        <v>0</v>
      </c>
      <c r="L185" s="28">
        <f>IF(A185="","",C185*'Menu Productos'!$F$5+D185*'Menu Productos'!$F$6+E185*'Menu Productos'!$F$7+F185*'Menu Productos'!$F$8+G185*'Menu Productos'!$F$9+H185*'Menu Productos'!$F$10+I185*'Menu Productos'!$F$11+J185*'Menu Productos'!$F$12)</f>
        <v>0</v>
      </c>
      <c r="M185" s="28">
        <f>IF(A185="","",C185*'Menu Productos'!$E$5+D185*'Menu Productos'!$E$6+E185*'Menu Productos'!$E$7+F185*'Menu Productos'!$E$8+G185*'Menu Productos'!$E$9+H185*'Menu Productos'!$E$10+I185*'Menu Productos'!$E$11+J185*'Menu Productos'!$E$12)</f>
        <v>0</v>
      </c>
      <c r="N185" s="29"/>
      <c r="O185" s="28">
        <f t="shared" si="12"/>
        <v>0</v>
      </c>
      <c r="P185" s="29"/>
      <c r="Q185" s="29"/>
      <c r="R185" s="29"/>
      <c r="S185" s="28">
        <f t="shared" si="13"/>
        <v>0</v>
      </c>
      <c r="T185" s="28">
        <f t="shared" si="14"/>
        <v>0</v>
      </c>
      <c r="U185" s="12"/>
      <c r="V185" s="12" t="str">
        <f ca="1">IF(A185&gt;TODAY(),"FUTURO",IF(AND(K185=0,N185=0,S185=0),"SIN MOVIMIENTO",IF(ABS(T185)&lt;='Metas y Control'!$B$6,"OK","REVISAR CAJA")))</f>
        <v>SIN MOVIMIENTO</v>
      </c>
    </row>
    <row r="186" spans="1:22" x14ac:dyDescent="0.3">
      <c r="A186" s="25">
        <f>IF(YEAR(A185+1)=Dashboard!$B$2,A185+1,"")</f>
        <v>46204</v>
      </c>
      <c r="B186" s="26" t="str">
        <f t="shared" si="10"/>
        <v>julio</v>
      </c>
      <c r="C186" s="24"/>
      <c r="D186" s="24"/>
      <c r="E186" s="24"/>
      <c r="F186" s="24"/>
      <c r="G186" s="24"/>
      <c r="H186" s="24"/>
      <c r="I186" s="24"/>
      <c r="J186" s="24"/>
      <c r="K186" s="27">
        <f t="shared" si="11"/>
        <v>0</v>
      </c>
      <c r="L186" s="28">
        <f>IF(A186="","",C186*'Menu Productos'!$F$5+D186*'Menu Productos'!$F$6+E186*'Menu Productos'!$F$7+F186*'Menu Productos'!$F$8+G186*'Menu Productos'!$F$9+H186*'Menu Productos'!$F$10+I186*'Menu Productos'!$F$11+J186*'Menu Productos'!$F$12)</f>
        <v>0</v>
      </c>
      <c r="M186" s="28">
        <f>IF(A186="","",C186*'Menu Productos'!$E$5+D186*'Menu Productos'!$E$6+E186*'Menu Productos'!$E$7+F186*'Menu Productos'!$E$8+G186*'Menu Productos'!$E$9+H186*'Menu Productos'!$E$10+I186*'Menu Productos'!$E$11+J186*'Menu Productos'!$E$12)</f>
        <v>0</v>
      </c>
      <c r="N186" s="29"/>
      <c r="O186" s="28">
        <f t="shared" si="12"/>
        <v>0</v>
      </c>
      <c r="P186" s="29"/>
      <c r="Q186" s="29"/>
      <c r="R186" s="29"/>
      <c r="S186" s="28">
        <f t="shared" si="13"/>
        <v>0</v>
      </c>
      <c r="T186" s="28">
        <f t="shared" si="14"/>
        <v>0</v>
      </c>
      <c r="U186" s="12"/>
      <c r="V186" s="12" t="str">
        <f ca="1">IF(A186&gt;TODAY(),"FUTURO",IF(AND(K186=0,N186=0,S186=0),"SIN MOVIMIENTO",IF(ABS(T186)&lt;='Metas y Control'!$B$6,"OK","REVISAR CAJA")))</f>
        <v>SIN MOVIMIENTO</v>
      </c>
    </row>
    <row r="187" spans="1:22" x14ac:dyDescent="0.3">
      <c r="A187" s="25">
        <f>IF(YEAR(A186+1)=Dashboard!$B$2,A186+1,"")</f>
        <v>46205</v>
      </c>
      <c r="B187" s="26" t="str">
        <f t="shared" si="10"/>
        <v>julio</v>
      </c>
      <c r="C187" s="24"/>
      <c r="D187" s="24"/>
      <c r="E187" s="24"/>
      <c r="F187" s="24"/>
      <c r="G187" s="24"/>
      <c r="H187" s="24"/>
      <c r="I187" s="24"/>
      <c r="J187" s="24"/>
      <c r="K187" s="27">
        <f t="shared" si="11"/>
        <v>0</v>
      </c>
      <c r="L187" s="28">
        <f>IF(A187="","",C187*'Menu Productos'!$F$5+D187*'Menu Productos'!$F$6+E187*'Menu Productos'!$F$7+F187*'Menu Productos'!$F$8+G187*'Menu Productos'!$F$9+H187*'Menu Productos'!$F$10+I187*'Menu Productos'!$F$11+J187*'Menu Productos'!$F$12)</f>
        <v>0</v>
      </c>
      <c r="M187" s="28">
        <f>IF(A187="","",C187*'Menu Productos'!$E$5+D187*'Menu Productos'!$E$6+E187*'Menu Productos'!$E$7+F187*'Menu Productos'!$E$8+G187*'Menu Productos'!$E$9+H187*'Menu Productos'!$E$10+I187*'Menu Productos'!$E$11+J187*'Menu Productos'!$E$12)</f>
        <v>0</v>
      </c>
      <c r="N187" s="29"/>
      <c r="O187" s="28">
        <f t="shared" si="12"/>
        <v>0</v>
      </c>
      <c r="P187" s="29"/>
      <c r="Q187" s="29"/>
      <c r="R187" s="29"/>
      <c r="S187" s="28">
        <f t="shared" si="13"/>
        <v>0</v>
      </c>
      <c r="T187" s="28">
        <f t="shared" si="14"/>
        <v>0</v>
      </c>
      <c r="U187" s="12"/>
      <c r="V187" s="12" t="str">
        <f ca="1">IF(A187&gt;TODAY(),"FUTURO",IF(AND(K187=0,N187=0,S187=0),"SIN MOVIMIENTO",IF(ABS(T187)&lt;='Metas y Control'!$B$6,"OK","REVISAR CAJA")))</f>
        <v>SIN MOVIMIENTO</v>
      </c>
    </row>
    <row r="188" spans="1:22" x14ac:dyDescent="0.3">
      <c r="A188" s="25">
        <f>IF(YEAR(A187+1)=Dashboard!$B$2,A187+1,"")</f>
        <v>46206</v>
      </c>
      <c r="B188" s="26" t="str">
        <f t="shared" si="10"/>
        <v>julio</v>
      </c>
      <c r="C188" s="24"/>
      <c r="D188" s="24"/>
      <c r="E188" s="24"/>
      <c r="F188" s="24"/>
      <c r="G188" s="24"/>
      <c r="H188" s="24"/>
      <c r="I188" s="24"/>
      <c r="J188" s="24"/>
      <c r="K188" s="27">
        <f t="shared" si="11"/>
        <v>0</v>
      </c>
      <c r="L188" s="28">
        <f>IF(A188="","",C188*'Menu Productos'!$F$5+D188*'Menu Productos'!$F$6+E188*'Menu Productos'!$F$7+F188*'Menu Productos'!$F$8+G188*'Menu Productos'!$F$9+H188*'Menu Productos'!$F$10+I188*'Menu Productos'!$F$11+J188*'Menu Productos'!$F$12)</f>
        <v>0</v>
      </c>
      <c r="M188" s="28">
        <f>IF(A188="","",C188*'Menu Productos'!$E$5+D188*'Menu Productos'!$E$6+E188*'Menu Productos'!$E$7+F188*'Menu Productos'!$E$8+G188*'Menu Productos'!$E$9+H188*'Menu Productos'!$E$10+I188*'Menu Productos'!$E$11+J188*'Menu Productos'!$E$12)</f>
        <v>0</v>
      </c>
      <c r="N188" s="29"/>
      <c r="O188" s="28">
        <f t="shared" si="12"/>
        <v>0</v>
      </c>
      <c r="P188" s="29"/>
      <c r="Q188" s="29"/>
      <c r="R188" s="29"/>
      <c r="S188" s="28">
        <f t="shared" si="13"/>
        <v>0</v>
      </c>
      <c r="T188" s="28">
        <f t="shared" si="14"/>
        <v>0</v>
      </c>
      <c r="U188" s="12"/>
      <c r="V188" s="12" t="str">
        <f ca="1">IF(A188&gt;TODAY(),"FUTURO",IF(AND(K188=0,N188=0,S188=0),"SIN MOVIMIENTO",IF(ABS(T188)&lt;='Metas y Control'!$B$6,"OK","REVISAR CAJA")))</f>
        <v>SIN MOVIMIENTO</v>
      </c>
    </row>
    <row r="189" spans="1:22" x14ac:dyDescent="0.3">
      <c r="A189" s="25">
        <f>IF(YEAR(A188+1)=Dashboard!$B$2,A188+1,"")</f>
        <v>46207</v>
      </c>
      <c r="B189" s="26" t="str">
        <f t="shared" si="10"/>
        <v>julio</v>
      </c>
      <c r="C189" s="24"/>
      <c r="D189" s="24"/>
      <c r="E189" s="24"/>
      <c r="F189" s="24"/>
      <c r="G189" s="24"/>
      <c r="H189" s="24"/>
      <c r="I189" s="24"/>
      <c r="J189" s="24"/>
      <c r="K189" s="27">
        <f t="shared" si="11"/>
        <v>0</v>
      </c>
      <c r="L189" s="28">
        <f>IF(A189="","",C189*'Menu Productos'!$F$5+D189*'Menu Productos'!$F$6+E189*'Menu Productos'!$F$7+F189*'Menu Productos'!$F$8+G189*'Menu Productos'!$F$9+H189*'Menu Productos'!$F$10+I189*'Menu Productos'!$F$11+J189*'Menu Productos'!$F$12)</f>
        <v>0</v>
      </c>
      <c r="M189" s="28">
        <f>IF(A189="","",C189*'Menu Productos'!$E$5+D189*'Menu Productos'!$E$6+E189*'Menu Productos'!$E$7+F189*'Menu Productos'!$E$8+G189*'Menu Productos'!$E$9+H189*'Menu Productos'!$E$10+I189*'Menu Productos'!$E$11+J189*'Menu Productos'!$E$12)</f>
        <v>0</v>
      </c>
      <c r="N189" s="29"/>
      <c r="O189" s="28">
        <f t="shared" si="12"/>
        <v>0</v>
      </c>
      <c r="P189" s="29"/>
      <c r="Q189" s="29"/>
      <c r="R189" s="29"/>
      <c r="S189" s="28">
        <f t="shared" si="13"/>
        <v>0</v>
      </c>
      <c r="T189" s="28">
        <f t="shared" si="14"/>
        <v>0</v>
      </c>
      <c r="U189" s="12"/>
      <c r="V189" s="12" t="str">
        <f ca="1">IF(A189&gt;TODAY(),"FUTURO",IF(AND(K189=0,N189=0,S189=0),"SIN MOVIMIENTO",IF(ABS(T189)&lt;='Metas y Control'!$B$6,"OK","REVISAR CAJA")))</f>
        <v>SIN MOVIMIENTO</v>
      </c>
    </row>
    <row r="190" spans="1:22" x14ac:dyDescent="0.3">
      <c r="A190" s="25">
        <f>IF(YEAR(A189+1)=Dashboard!$B$2,A189+1,"")</f>
        <v>46208</v>
      </c>
      <c r="B190" s="26" t="str">
        <f t="shared" si="10"/>
        <v>julio</v>
      </c>
      <c r="C190" s="24"/>
      <c r="D190" s="24"/>
      <c r="E190" s="24"/>
      <c r="F190" s="24"/>
      <c r="G190" s="24"/>
      <c r="H190" s="24"/>
      <c r="I190" s="24"/>
      <c r="J190" s="24"/>
      <c r="K190" s="27">
        <f t="shared" si="11"/>
        <v>0</v>
      </c>
      <c r="L190" s="28">
        <f>IF(A190="","",C190*'Menu Productos'!$F$5+D190*'Menu Productos'!$F$6+E190*'Menu Productos'!$F$7+F190*'Menu Productos'!$F$8+G190*'Menu Productos'!$F$9+H190*'Menu Productos'!$F$10+I190*'Menu Productos'!$F$11+J190*'Menu Productos'!$F$12)</f>
        <v>0</v>
      </c>
      <c r="M190" s="28">
        <f>IF(A190="","",C190*'Menu Productos'!$E$5+D190*'Menu Productos'!$E$6+E190*'Menu Productos'!$E$7+F190*'Menu Productos'!$E$8+G190*'Menu Productos'!$E$9+H190*'Menu Productos'!$E$10+I190*'Menu Productos'!$E$11+J190*'Menu Productos'!$E$12)</f>
        <v>0</v>
      </c>
      <c r="N190" s="29"/>
      <c r="O190" s="28">
        <f t="shared" si="12"/>
        <v>0</v>
      </c>
      <c r="P190" s="29"/>
      <c r="Q190" s="29"/>
      <c r="R190" s="29"/>
      <c r="S190" s="28">
        <f t="shared" si="13"/>
        <v>0</v>
      </c>
      <c r="T190" s="28">
        <f t="shared" si="14"/>
        <v>0</v>
      </c>
      <c r="U190" s="12"/>
      <c r="V190" s="12" t="str">
        <f ca="1">IF(A190&gt;TODAY(),"FUTURO",IF(AND(K190=0,N190=0,S190=0),"SIN MOVIMIENTO",IF(ABS(T190)&lt;='Metas y Control'!$B$6,"OK","REVISAR CAJA")))</f>
        <v>SIN MOVIMIENTO</v>
      </c>
    </row>
    <row r="191" spans="1:22" x14ac:dyDescent="0.3">
      <c r="A191" s="25">
        <f>IF(YEAR(A190+1)=Dashboard!$B$2,A190+1,"")</f>
        <v>46209</v>
      </c>
      <c r="B191" s="26" t="str">
        <f t="shared" si="10"/>
        <v>julio</v>
      </c>
      <c r="C191" s="24"/>
      <c r="D191" s="24"/>
      <c r="E191" s="24"/>
      <c r="F191" s="24"/>
      <c r="G191" s="24"/>
      <c r="H191" s="24"/>
      <c r="I191" s="24"/>
      <c r="J191" s="24"/>
      <c r="K191" s="27">
        <f t="shared" si="11"/>
        <v>0</v>
      </c>
      <c r="L191" s="28">
        <f>IF(A191="","",C191*'Menu Productos'!$F$5+D191*'Menu Productos'!$F$6+E191*'Menu Productos'!$F$7+F191*'Menu Productos'!$F$8+G191*'Menu Productos'!$F$9+H191*'Menu Productos'!$F$10+I191*'Menu Productos'!$F$11+J191*'Menu Productos'!$F$12)</f>
        <v>0</v>
      </c>
      <c r="M191" s="28">
        <f>IF(A191="","",C191*'Menu Productos'!$E$5+D191*'Menu Productos'!$E$6+E191*'Menu Productos'!$E$7+F191*'Menu Productos'!$E$8+G191*'Menu Productos'!$E$9+H191*'Menu Productos'!$E$10+I191*'Menu Productos'!$E$11+J191*'Menu Productos'!$E$12)</f>
        <v>0</v>
      </c>
      <c r="N191" s="29"/>
      <c r="O191" s="28">
        <f t="shared" si="12"/>
        <v>0</v>
      </c>
      <c r="P191" s="29"/>
      <c r="Q191" s="29"/>
      <c r="R191" s="29"/>
      <c r="S191" s="28">
        <f t="shared" si="13"/>
        <v>0</v>
      </c>
      <c r="T191" s="28">
        <f t="shared" si="14"/>
        <v>0</v>
      </c>
      <c r="U191" s="12"/>
      <c r="V191" s="12" t="str">
        <f ca="1">IF(A191&gt;TODAY(),"FUTURO",IF(AND(K191=0,N191=0,S191=0),"SIN MOVIMIENTO",IF(ABS(T191)&lt;='Metas y Control'!$B$6,"OK","REVISAR CAJA")))</f>
        <v>SIN MOVIMIENTO</v>
      </c>
    </row>
    <row r="192" spans="1:22" x14ac:dyDescent="0.3">
      <c r="A192" s="25">
        <f>IF(YEAR(A191+1)=Dashboard!$B$2,A191+1,"")</f>
        <v>46210</v>
      </c>
      <c r="B192" s="26" t="str">
        <f t="shared" si="10"/>
        <v>julio</v>
      </c>
      <c r="C192" s="24"/>
      <c r="D192" s="24"/>
      <c r="E192" s="24"/>
      <c r="F192" s="24"/>
      <c r="G192" s="24"/>
      <c r="H192" s="24"/>
      <c r="I192" s="24"/>
      <c r="J192" s="24"/>
      <c r="K192" s="27">
        <f t="shared" si="11"/>
        <v>0</v>
      </c>
      <c r="L192" s="28">
        <f>IF(A192="","",C192*'Menu Productos'!$F$5+D192*'Menu Productos'!$F$6+E192*'Menu Productos'!$F$7+F192*'Menu Productos'!$F$8+G192*'Menu Productos'!$F$9+H192*'Menu Productos'!$F$10+I192*'Menu Productos'!$F$11+J192*'Menu Productos'!$F$12)</f>
        <v>0</v>
      </c>
      <c r="M192" s="28">
        <f>IF(A192="","",C192*'Menu Productos'!$E$5+D192*'Menu Productos'!$E$6+E192*'Menu Productos'!$E$7+F192*'Menu Productos'!$E$8+G192*'Menu Productos'!$E$9+H192*'Menu Productos'!$E$10+I192*'Menu Productos'!$E$11+J192*'Menu Productos'!$E$12)</f>
        <v>0</v>
      </c>
      <c r="N192" s="29"/>
      <c r="O192" s="28">
        <f t="shared" si="12"/>
        <v>0</v>
      </c>
      <c r="P192" s="29"/>
      <c r="Q192" s="29"/>
      <c r="R192" s="29"/>
      <c r="S192" s="28">
        <f t="shared" si="13"/>
        <v>0</v>
      </c>
      <c r="T192" s="28">
        <f t="shared" si="14"/>
        <v>0</v>
      </c>
      <c r="U192" s="12"/>
      <c r="V192" s="12" t="str">
        <f ca="1">IF(A192&gt;TODAY(),"FUTURO",IF(AND(K192=0,N192=0,S192=0),"SIN MOVIMIENTO",IF(ABS(T192)&lt;='Metas y Control'!$B$6,"OK","REVISAR CAJA")))</f>
        <v>SIN MOVIMIENTO</v>
      </c>
    </row>
    <row r="193" spans="1:22" x14ac:dyDescent="0.3">
      <c r="A193" s="25">
        <f>IF(YEAR(A192+1)=Dashboard!$B$2,A192+1,"")</f>
        <v>46211</v>
      </c>
      <c r="B193" s="26" t="str">
        <f t="shared" si="10"/>
        <v>julio</v>
      </c>
      <c r="C193" s="24"/>
      <c r="D193" s="24"/>
      <c r="E193" s="24"/>
      <c r="F193" s="24"/>
      <c r="G193" s="24"/>
      <c r="H193" s="24"/>
      <c r="I193" s="24"/>
      <c r="J193" s="24"/>
      <c r="K193" s="27">
        <f t="shared" si="11"/>
        <v>0</v>
      </c>
      <c r="L193" s="28">
        <f>IF(A193="","",C193*'Menu Productos'!$F$5+D193*'Menu Productos'!$F$6+E193*'Menu Productos'!$F$7+F193*'Menu Productos'!$F$8+G193*'Menu Productos'!$F$9+H193*'Menu Productos'!$F$10+I193*'Menu Productos'!$F$11+J193*'Menu Productos'!$F$12)</f>
        <v>0</v>
      </c>
      <c r="M193" s="28">
        <f>IF(A193="","",C193*'Menu Productos'!$E$5+D193*'Menu Productos'!$E$6+E193*'Menu Productos'!$E$7+F193*'Menu Productos'!$E$8+G193*'Menu Productos'!$E$9+H193*'Menu Productos'!$E$10+I193*'Menu Productos'!$E$11+J193*'Menu Productos'!$E$12)</f>
        <v>0</v>
      </c>
      <c r="N193" s="29"/>
      <c r="O193" s="28">
        <f t="shared" si="12"/>
        <v>0</v>
      </c>
      <c r="P193" s="29"/>
      <c r="Q193" s="29"/>
      <c r="R193" s="29"/>
      <c r="S193" s="28">
        <f t="shared" si="13"/>
        <v>0</v>
      </c>
      <c r="T193" s="28">
        <f t="shared" si="14"/>
        <v>0</v>
      </c>
      <c r="U193" s="12"/>
      <c r="V193" s="12" t="str">
        <f ca="1">IF(A193&gt;TODAY(),"FUTURO",IF(AND(K193=0,N193=0,S193=0),"SIN MOVIMIENTO",IF(ABS(T193)&lt;='Metas y Control'!$B$6,"OK","REVISAR CAJA")))</f>
        <v>SIN MOVIMIENTO</v>
      </c>
    </row>
    <row r="194" spans="1:22" x14ac:dyDescent="0.3">
      <c r="A194" s="25">
        <f>IF(YEAR(A193+1)=Dashboard!$B$2,A193+1,"")</f>
        <v>46212</v>
      </c>
      <c r="B194" s="26" t="str">
        <f t="shared" si="10"/>
        <v>julio</v>
      </c>
      <c r="C194" s="24"/>
      <c r="D194" s="24"/>
      <c r="E194" s="24"/>
      <c r="F194" s="24"/>
      <c r="G194" s="24"/>
      <c r="H194" s="24"/>
      <c r="I194" s="24"/>
      <c r="J194" s="24"/>
      <c r="K194" s="27">
        <f t="shared" si="11"/>
        <v>0</v>
      </c>
      <c r="L194" s="28">
        <f>IF(A194="","",C194*'Menu Productos'!$F$5+D194*'Menu Productos'!$F$6+E194*'Menu Productos'!$F$7+F194*'Menu Productos'!$F$8+G194*'Menu Productos'!$F$9+H194*'Menu Productos'!$F$10+I194*'Menu Productos'!$F$11+J194*'Menu Productos'!$F$12)</f>
        <v>0</v>
      </c>
      <c r="M194" s="28">
        <f>IF(A194="","",C194*'Menu Productos'!$E$5+D194*'Menu Productos'!$E$6+E194*'Menu Productos'!$E$7+F194*'Menu Productos'!$E$8+G194*'Menu Productos'!$E$9+H194*'Menu Productos'!$E$10+I194*'Menu Productos'!$E$11+J194*'Menu Productos'!$E$12)</f>
        <v>0</v>
      </c>
      <c r="N194" s="29"/>
      <c r="O194" s="28">
        <f t="shared" si="12"/>
        <v>0</v>
      </c>
      <c r="P194" s="29"/>
      <c r="Q194" s="29"/>
      <c r="R194" s="29"/>
      <c r="S194" s="28">
        <f t="shared" si="13"/>
        <v>0</v>
      </c>
      <c r="T194" s="28">
        <f t="shared" si="14"/>
        <v>0</v>
      </c>
      <c r="U194" s="12"/>
      <c r="V194" s="12" t="str">
        <f ca="1">IF(A194&gt;TODAY(),"FUTURO",IF(AND(K194=0,N194=0,S194=0),"SIN MOVIMIENTO",IF(ABS(T194)&lt;='Metas y Control'!$B$6,"OK","REVISAR CAJA")))</f>
        <v>SIN MOVIMIENTO</v>
      </c>
    </row>
    <row r="195" spans="1:22" x14ac:dyDescent="0.3">
      <c r="A195" s="25">
        <f>IF(YEAR(A194+1)=Dashboard!$B$2,A194+1,"")</f>
        <v>46213</v>
      </c>
      <c r="B195" s="26" t="str">
        <f t="shared" si="10"/>
        <v>julio</v>
      </c>
      <c r="C195" s="24"/>
      <c r="D195" s="24"/>
      <c r="E195" s="24"/>
      <c r="F195" s="24"/>
      <c r="G195" s="24"/>
      <c r="H195" s="24"/>
      <c r="I195" s="24"/>
      <c r="J195" s="24"/>
      <c r="K195" s="27">
        <f t="shared" si="11"/>
        <v>0</v>
      </c>
      <c r="L195" s="28">
        <f>IF(A195="","",C195*'Menu Productos'!$F$5+D195*'Menu Productos'!$F$6+E195*'Menu Productos'!$F$7+F195*'Menu Productos'!$F$8+G195*'Menu Productos'!$F$9+H195*'Menu Productos'!$F$10+I195*'Menu Productos'!$F$11+J195*'Menu Productos'!$F$12)</f>
        <v>0</v>
      </c>
      <c r="M195" s="28">
        <f>IF(A195="","",C195*'Menu Productos'!$E$5+D195*'Menu Productos'!$E$6+E195*'Menu Productos'!$E$7+F195*'Menu Productos'!$E$8+G195*'Menu Productos'!$E$9+H195*'Menu Productos'!$E$10+I195*'Menu Productos'!$E$11+J195*'Menu Productos'!$E$12)</f>
        <v>0</v>
      </c>
      <c r="N195" s="29"/>
      <c r="O195" s="28">
        <f t="shared" si="12"/>
        <v>0</v>
      </c>
      <c r="P195" s="29"/>
      <c r="Q195" s="29"/>
      <c r="R195" s="29"/>
      <c r="S195" s="28">
        <f t="shared" si="13"/>
        <v>0</v>
      </c>
      <c r="T195" s="28">
        <f t="shared" si="14"/>
        <v>0</v>
      </c>
      <c r="U195" s="12"/>
      <c r="V195" s="12" t="str">
        <f ca="1">IF(A195&gt;TODAY(),"FUTURO",IF(AND(K195=0,N195=0,S195=0),"SIN MOVIMIENTO",IF(ABS(T195)&lt;='Metas y Control'!$B$6,"OK","REVISAR CAJA")))</f>
        <v>SIN MOVIMIENTO</v>
      </c>
    </row>
    <row r="196" spans="1:22" x14ac:dyDescent="0.3">
      <c r="A196" s="25">
        <f>IF(YEAR(A195+1)=Dashboard!$B$2,A195+1,"")</f>
        <v>46214</v>
      </c>
      <c r="B196" s="26" t="str">
        <f t="shared" si="10"/>
        <v>julio</v>
      </c>
      <c r="C196" s="24"/>
      <c r="D196" s="24"/>
      <c r="E196" s="24"/>
      <c r="F196" s="24"/>
      <c r="G196" s="24"/>
      <c r="H196" s="24"/>
      <c r="I196" s="24"/>
      <c r="J196" s="24"/>
      <c r="K196" s="27">
        <f t="shared" si="11"/>
        <v>0</v>
      </c>
      <c r="L196" s="28">
        <f>IF(A196="","",C196*'Menu Productos'!$F$5+D196*'Menu Productos'!$F$6+E196*'Menu Productos'!$F$7+F196*'Menu Productos'!$F$8+G196*'Menu Productos'!$F$9+H196*'Menu Productos'!$F$10+I196*'Menu Productos'!$F$11+J196*'Menu Productos'!$F$12)</f>
        <v>0</v>
      </c>
      <c r="M196" s="28">
        <f>IF(A196="","",C196*'Menu Productos'!$E$5+D196*'Menu Productos'!$E$6+E196*'Menu Productos'!$E$7+F196*'Menu Productos'!$E$8+G196*'Menu Productos'!$E$9+H196*'Menu Productos'!$E$10+I196*'Menu Productos'!$E$11+J196*'Menu Productos'!$E$12)</f>
        <v>0</v>
      </c>
      <c r="N196" s="29"/>
      <c r="O196" s="28">
        <f t="shared" si="12"/>
        <v>0</v>
      </c>
      <c r="P196" s="29"/>
      <c r="Q196" s="29"/>
      <c r="R196" s="29"/>
      <c r="S196" s="28">
        <f t="shared" si="13"/>
        <v>0</v>
      </c>
      <c r="T196" s="28">
        <f t="shared" si="14"/>
        <v>0</v>
      </c>
      <c r="U196" s="12"/>
      <c r="V196" s="12" t="str">
        <f ca="1">IF(A196&gt;TODAY(),"FUTURO",IF(AND(K196=0,N196=0,S196=0),"SIN MOVIMIENTO",IF(ABS(T196)&lt;='Metas y Control'!$B$6,"OK","REVISAR CAJA")))</f>
        <v>SIN MOVIMIENTO</v>
      </c>
    </row>
    <row r="197" spans="1:22" x14ac:dyDescent="0.3">
      <c r="A197" s="25">
        <f>IF(YEAR(A196+1)=Dashboard!$B$2,A196+1,"")</f>
        <v>46215</v>
      </c>
      <c r="B197" s="26" t="str">
        <f t="shared" si="10"/>
        <v>julio</v>
      </c>
      <c r="C197" s="24"/>
      <c r="D197" s="24"/>
      <c r="E197" s="24"/>
      <c r="F197" s="24"/>
      <c r="G197" s="24"/>
      <c r="H197" s="24"/>
      <c r="I197" s="24"/>
      <c r="J197" s="24"/>
      <c r="K197" s="27">
        <f t="shared" si="11"/>
        <v>0</v>
      </c>
      <c r="L197" s="28">
        <f>IF(A197="","",C197*'Menu Productos'!$F$5+D197*'Menu Productos'!$F$6+E197*'Menu Productos'!$F$7+F197*'Menu Productos'!$F$8+G197*'Menu Productos'!$F$9+H197*'Menu Productos'!$F$10+I197*'Menu Productos'!$F$11+J197*'Menu Productos'!$F$12)</f>
        <v>0</v>
      </c>
      <c r="M197" s="28">
        <f>IF(A197="","",C197*'Menu Productos'!$E$5+D197*'Menu Productos'!$E$6+E197*'Menu Productos'!$E$7+F197*'Menu Productos'!$E$8+G197*'Menu Productos'!$E$9+H197*'Menu Productos'!$E$10+I197*'Menu Productos'!$E$11+J197*'Menu Productos'!$E$12)</f>
        <v>0</v>
      </c>
      <c r="N197" s="29"/>
      <c r="O197" s="28">
        <f t="shared" si="12"/>
        <v>0</v>
      </c>
      <c r="P197" s="29"/>
      <c r="Q197" s="29"/>
      <c r="R197" s="29"/>
      <c r="S197" s="28">
        <f t="shared" si="13"/>
        <v>0</v>
      </c>
      <c r="T197" s="28">
        <f t="shared" si="14"/>
        <v>0</v>
      </c>
      <c r="U197" s="12"/>
      <c r="V197" s="12" t="str">
        <f ca="1">IF(A197&gt;TODAY(),"FUTURO",IF(AND(K197=0,N197=0,S197=0),"SIN MOVIMIENTO",IF(ABS(T197)&lt;='Metas y Control'!$B$6,"OK","REVISAR CAJA")))</f>
        <v>SIN MOVIMIENTO</v>
      </c>
    </row>
    <row r="198" spans="1:22" x14ac:dyDescent="0.3">
      <c r="A198" s="25">
        <f>IF(YEAR(A197+1)=Dashboard!$B$2,A197+1,"")</f>
        <v>46216</v>
      </c>
      <c r="B198" s="26" t="str">
        <f t="shared" ref="B198:B261" si="15">IF(A198="","",TEXT(A198,"mmmm"))</f>
        <v>julio</v>
      </c>
      <c r="C198" s="24"/>
      <c r="D198" s="24"/>
      <c r="E198" s="24"/>
      <c r="F198" s="24"/>
      <c r="G198" s="24"/>
      <c r="H198" s="24"/>
      <c r="I198" s="24"/>
      <c r="J198" s="24"/>
      <c r="K198" s="27">
        <f t="shared" ref="K198:K261" si="16">IF(A198="","",SUM(C198:J198))</f>
        <v>0</v>
      </c>
      <c r="L198" s="28">
        <f>IF(A198="","",C198*'Menu Productos'!$F$5+D198*'Menu Productos'!$F$6+E198*'Menu Productos'!$F$7+F198*'Menu Productos'!$F$8+G198*'Menu Productos'!$F$9+H198*'Menu Productos'!$F$10+I198*'Menu Productos'!$F$11+J198*'Menu Productos'!$F$12)</f>
        <v>0</v>
      </c>
      <c r="M198" s="28">
        <f>IF(A198="","",C198*'Menu Productos'!$E$5+D198*'Menu Productos'!$E$6+E198*'Menu Productos'!$E$7+F198*'Menu Productos'!$E$8+G198*'Menu Productos'!$E$9+H198*'Menu Productos'!$E$10+I198*'Menu Productos'!$E$11+J198*'Menu Productos'!$E$12)</f>
        <v>0</v>
      </c>
      <c r="N198" s="29"/>
      <c r="O198" s="28">
        <f t="shared" ref="O198:O261" si="17">IF(A198="","",L198-M198-N198)</f>
        <v>0</v>
      </c>
      <c r="P198" s="29"/>
      <c r="Q198" s="29"/>
      <c r="R198" s="29"/>
      <c r="S198" s="28">
        <f t="shared" ref="S198:S261" si="18">IF(A198="","",SUM(P198:R198))</f>
        <v>0</v>
      </c>
      <c r="T198" s="28">
        <f t="shared" ref="T198:T261" si="19">IF(A198="","",S198-(L198-N198))</f>
        <v>0</v>
      </c>
      <c r="U198" s="12"/>
      <c r="V198" s="12" t="str">
        <f ca="1">IF(A198&gt;TODAY(),"FUTURO",IF(AND(K198=0,N198=0,S198=0),"SIN MOVIMIENTO",IF(ABS(T198)&lt;='Metas y Control'!$B$6,"OK","REVISAR CAJA")))</f>
        <v>SIN MOVIMIENTO</v>
      </c>
    </row>
    <row r="199" spans="1:22" x14ac:dyDescent="0.3">
      <c r="A199" s="25">
        <f>IF(YEAR(A198+1)=Dashboard!$B$2,A198+1,"")</f>
        <v>46217</v>
      </c>
      <c r="B199" s="26" t="str">
        <f t="shared" si="15"/>
        <v>julio</v>
      </c>
      <c r="C199" s="24"/>
      <c r="D199" s="24"/>
      <c r="E199" s="24"/>
      <c r="F199" s="24"/>
      <c r="G199" s="24"/>
      <c r="H199" s="24"/>
      <c r="I199" s="24"/>
      <c r="J199" s="24"/>
      <c r="K199" s="27">
        <f t="shared" si="16"/>
        <v>0</v>
      </c>
      <c r="L199" s="28">
        <f>IF(A199="","",C199*'Menu Productos'!$F$5+D199*'Menu Productos'!$F$6+E199*'Menu Productos'!$F$7+F199*'Menu Productos'!$F$8+G199*'Menu Productos'!$F$9+H199*'Menu Productos'!$F$10+I199*'Menu Productos'!$F$11+J199*'Menu Productos'!$F$12)</f>
        <v>0</v>
      </c>
      <c r="M199" s="28">
        <f>IF(A199="","",C199*'Menu Productos'!$E$5+D199*'Menu Productos'!$E$6+E199*'Menu Productos'!$E$7+F199*'Menu Productos'!$E$8+G199*'Menu Productos'!$E$9+H199*'Menu Productos'!$E$10+I199*'Menu Productos'!$E$11+J199*'Menu Productos'!$E$12)</f>
        <v>0</v>
      </c>
      <c r="N199" s="29"/>
      <c r="O199" s="28">
        <f t="shared" si="17"/>
        <v>0</v>
      </c>
      <c r="P199" s="29"/>
      <c r="Q199" s="29"/>
      <c r="R199" s="29"/>
      <c r="S199" s="28">
        <f t="shared" si="18"/>
        <v>0</v>
      </c>
      <c r="T199" s="28">
        <f t="shared" si="19"/>
        <v>0</v>
      </c>
      <c r="U199" s="12"/>
      <c r="V199" s="12" t="str">
        <f ca="1">IF(A199&gt;TODAY(),"FUTURO",IF(AND(K199=0,N199=0,S199=0),"SIN MOVIMIENTO",IF(ABS(T199)&lt;='Metas y Control'!$B$6,"OK","REVISAR CAJA")))</f>
        <v>SIN MOVIMIENTO</v>
      </c>
    </row>
    <row r="200" spans="1:22" x14ac:dyDescent="0.3">
      <c r="A200" s="25">
        <f>IF(YEAR(A199+1)=Dashboard!$B$2,A199+1,"")</f>
        <v>46218</v>
      </c>
      <c r="B200" s="26" t="str">
        <f t="shared" si="15"/>
        <v>julio</v>
      </c>
      <c r="C200" s="24"/>
      <c r="D200" s="24"/>
      <c r="E200" s="24"/>
      <c r="F200" s="24"/>
      <c r="G200" s="24"/>
      <c r="H200" s="24"/>
      <c r="I200" s="24"/>
      <c r="J200" s="24"/>
      <c r="K200" s="27">
        <f t="shared" si="16"/>
        <v>0</v>
      </c>
      <c r="L200" s="28">
        <f>IF(A200="","",C200*'Menu Productos'!$F$5+D200*'Menu Productos'!$F$6+E200*'Menu Productos'!$F$7+F200*'Menu Productos'!$F$8+G200*'Menu Productos'!$F$9+H200*'Menu Productos'!$F$10+I200*'Menu Productos'!$F$11+J200*'Menu Productos'!$F$12)</f>
        <v>0</v>
      </c>
      <c r="M200" s="28">
        <f>IF(A200="","",C200*'Menu Productos'!$E$5+D200*'Menu Productos'!$E$6+E200*'Menu Productos'!$E$7+F200*'Menu Productos'!$E$8+G200*'Menu Productos'!$E$9+H200*'Menu Productos'!$E$10+I200*'Menu Productos'!$E$11+J200*'Menu Productos'!$E$12)</f>
        <v>0</v>
      </c>
      <c r="N200" s="29"/>
      <c r="O200" s="28">
        <f t="shared" si="17"/>
        <v>0</v>
      </c>
      <c r="P200" s="29"/>
      <c r="Q200" s="29"/>
      <c r="R200" s="29"/>
      <c r="S200" s="28">
        <f t="shared" si="18"/>
        <v>0</v>
      </c>
      <c r="T200" s="28">
        <f t="shared" si="19"/>
        <v>0</v>
      </c>
      <c r="U200" s="12"/>
      <c r="V200" s="12" t="str">
        <f ca="1">IF(A200&gt;TODAY(),"FUTURO",IF(AND(K200=0,N200=0,S200=0),"SIN MOVIMIENTO",IF(ABS(T200)&lt;='Metas y Control'!$B$6,"OK","REVISAR CAJA")))</f>
        <v>SIN MOVIMIENTO</v>
      </c>
    </row>
    <row r="201" spans="1:22" x14ac:dyDescent="0.3">
      <c r="A201" s="25">
        <f>IF(YEAR(A200+1)=Dashboard!$B$2,A200+1,"")</f>
        <v>46219</v>
      </c>
      <c r="B201" s="26" t="str">
        <f t="shared" si="15"/>
        <v>julio</v>
      </c>
      <c r="C201" s="24"/>
      <c r="D201" s="24"/>
      <c r="E201" s="24"/>
      <c r="F201" s="24"/>
      <c r="G201" s="24"/>
      <c r="H201" s="24"/>
      <c r="I201" s="24"/>
      <c r="J201" s="24"/>
      <c r="K201" s="27">
        <f t="shared" si="16"/>
        <v>0</v>
      </c>
      <c r="L201" s="28">
        <f>IF(A201="","",C201*'Menu Productos'!$F$5+D201*'Menu Productos'!$F$6+E201*'Menu Productos'!$F$7+F201*'Menu Productos'!$F$8+G201*'Menu Productos'!$F$9+H201*'Menu Productos'!$F$10+I201*'Menu Productos'!$F$11+J201*'Menu Productos'!$F$12)</f>
        <v>0</v>
      </c>
      <c r="M201" s="28">
        <f>IF(A201="","",C201*'Menu Productos'!$E$5+D201*'Menu Productos'!$E$6+E201*'Menu Productos'!$E$7+F201*'Menu Productos'!$E$8+G201*'Menu Productos'!$E$9+H201*'Menu Productos'!$E$10+I201*'Menu Productos'!$E$11+J201*'Menu Productos'!$E$12)</f>
        <v>0</v>
      </c>
      <c r="N201" s="29"/>
      <c r="O201" s="28">
        <f t="shared" si="17"/>
        <v>0</v>
      </c>
      <c r="P201" s="29"/>
      <c r="Q201" s="29"/>
      <c r="R201" s="29"/>
      <c r="S201" s="28">
        <f t="shared" si="18"/>
        <v>0</v>
      </c>
      <c r="T201" s="28">
        <f t="shared" si="19"/>
        <v>0</v>
      </c>
      <c r="U201" s="12"/>
      <c r="V201" s="12" t="str">
        <f ca="1">IF(A201&gt;TODAY(),"FUTURO",IF(AND(K201=0,N201=0,S201=0),"SIN MOVIMIENTO",IF(ABS(T201)&lt;='Metas y Control'!$B$6,"OK","REVISAR CAJA")))</f>
        <v>SIN MOVIMIENTO</v>
      </c>
    </row>
    <row r="202" spans="1:22" x14ac:dyDescent="0.3">
      <c r="A202" s="25">
        <f>IF(YEAR(A201+1)=Dashboard!$B$2,A201+1,"")</f>
        <v>46220</v>
      </c>
      <c r="B202" s="26" t="str">
        <f t="shared" si="15"/>
        <v>julio</v>
      </c>
      <c r="C202" s="24"/>
      <c r="D202" s="24"/>
      <c r="E202" s="24"/>
      <c r="F202" s="24"/>
      <c r="G202" s="24"/>
      <c r="H202" s="24"/>
      <c r="I202" s="24"/>
      <c r="J202" s="24"/>
      <c r="K202" s="27">
        <f t="shared" si="16"/>
        <v>0</v>
      </c>
      <c r="L202" s="28">
        <f>IF(A202="","",C202*'Menu Productos'!$F$5+D202*'Menu Productos'!$F$6+E202*'Menu Productos'!$F$7+F202*'Menu Productos'!$F$8+G202*'Menu Productos'!$F$9+H202*'Menu Productos'!$F$10+I202*'Menu Productos'!$F$11+J202*'Menu Productos'!$F$12)</f>
        <v>0</v>
      </c>
      <c r="M202" s="28">
        <f>IF(A202="","",C202*'Menu Productos'!$E$5+D202*'Menu Productos'!$E$6+E202*'Menu Productos'!$E$7+F202*'Menu Productos'!$E$8+G202*'Menu Productos'!$E$9+H202*'Menu Productos'!$E$10+I202*'Menu Productos'!$E$11+J202*'Menu Productos'!$E$12)</f>
        <v>0</v>
      </c>
      <c r="N202" s="29"/>
      <c r="O202" s="28">
        <f t="shared" si="17"/>
        <v>0</v>
      </c>
      <c r="P202" s="29"/>
      <c r="Q202" s="29"/>
      <c r="R202" s="29"/>
      <c r="S202" s="28">
        <f t="shared" si="18"/>
        <v>0</v>
      </c>
      <c r="T202" s="28">
        <f t="shared" si="19"/>
        <v>0</v>
      </c>
      <c r="U202" s="12"/>
      <c r="V202" s="12" t="str">
        <f ca="1">IF(A202&gt;TODAY(),"FUTURO",IF(AND(K202=0,N202=0,S202=0),"SIN MOVIMIENTO",IF(ABS(T202)&lt;='Metas y Control'!$B$6,"OK","REVISAR CAJA")))</f>
        <v>SIN MOVIMIENTO</v>
      </c>
    </row>
    <row r="203" spans="1:22" x14ac:dyDescent="0.3">
      <c r="A203" s="25">
        <f>IF(YEAR(A202+1)=Dashboard!$B$2,A202+1,"")</f>
        <v>46221</v>
      </c>
      <c r="B203" s="26" t="str">
        <f t="shared" si="15"/>
        <v>julio</v>
      </c>
      <c r="C203" s="24"/>
      <c r="D203" s="24"/>
      <c r="E203" s="24"/>
      <c r="F203" s="24"/>
      <c r="G203" s="24"/>
      <c r="H203" s="24"/>
      <c r="I203" s="24"/>
      <c r="J203" s="24"/>
      <c r="K203" s="27">
        <f t="shared" si="16"/>
        <v>0</v>
      </c>
      <c r="L203" s="28">
        <f>IF(A203="","",C203*'Menu Productos'!$F$5+D203*'Menu Productos'!$F$6+E203*'Menu Productos'!$F$7+F203*'Menu Productos'!$F$8+G203*'Menu Productos'!$F$9+H203*'Menu Productos'!$F$10+I203*'Menu Productos'!$F$11+J203*'Menu Productos'!$F$12)</f>
        <v>0</v>
      </c>
      <c r="M203" s="28">
        <f>IF(A203="","",C203*'Menu Productos'!$E$5+D203*'Menu Productos'!$E$6+E203*'Menu Productos'!$E$7+F203*'Menu Productos'!$E$8+G203*'Menu Productos'!$E$9+H203*'Menu Productos'!$E$10+I203*'Menu Productos'!$E$11+J203*'Menu Productos'!$E$12)</f>
        <v>0</v>
      </c>
      <c r="N203" s="29"/>
      <c r="O203" s="28">
        <f t="shared" si="17"/>
        <v>0</v>
      </c>
      <c r="P203" s="29"/>
      <c r="Q203" s="29"/>
      <c r="R203" s="29"/>
      <c r="S203" s="28">
        <f t="shared" si="18"/>
        <v>0</v>
      </c>
      <c r="T203" s="28">
        <f t="shared" si="19"/>
        <v>0</v>
      </c>
      <c r="U203" s="12"/>
      <c r="V203" s="12" t="str">
        <f ca="1">IF(A203&gt;TODAY(),"FUTURO",IF(AND(K203=0,N203=0,S203=0),"SIN MOVIMIENTO",IF(ABS(T203)&lt;='Metas y Control'!$B$6,"OK","REVISAR CAJA")))</f>
        <v>SIN MOVIMIENTO</v>
      </c>
    </row>
    <row r="204" spans="1:22" x14ac:dyDescent="0.3">
      <c r="A204" s="25">
        <f>IF(YEAR(A203+1)=Dashboard!$B$2,A203+1,"")</f>
        <v>46222</v>
      </c>
      <c r="B204" s="26" t="str">
        <f t="shared" si="15"/>
        <v>julio</v>
      </c>
      <c r="C204" s="24"/>
      <c r="D204" s="24"/>
      <c r="E204" s="24"/>
      <c r="F204" s="24"/>
      <c r="G204" s="24"/>
      <c r="H204" s="24"/>
      <c r="I204" s="24"/>
      <c r="J204" s="24"/>
      <c r="K204" s="27">
        <f t="shared" si="16"/>
        <v>0</v>
      </c>
      <c r="L204" s="28">
        <f>IF(A204="","",C204*'Menu Productos'!$F$5+D204*'Menu Productos'!$F$6+E204*'Menu Productos'!$F$7+F204*'Menu Productos'!$F$8+G204*'Menu Productos'!$F$9+H204*'Menu Productos'!$F$10+I204*'Menu Productos'!$F$11+J204*'Menu Productos'!$F$12)</f>
        <v>0</v>
      </c>
      <c r="M204" s="28">
        <f>IF(A204="","",C204*'Menu Productos'!$E$5+D204*'Menu Productos'!$E$6+E204*'Menu Productos'!$E$7+F204*'Menu Productos'!$E$8+G204*'Menu Productos'!$E$9+H204*'Menu Productos'!$E$10+I204*'Menu Productos'!$E$11+J204*'Menu Productos'!$E$12)</f>
        <v>0</v>
      </c>
      <c r="N204" s="29"/>
      <c r="O204" s="28">
        <f t="shared" si="17"/>
        <v>0</v>
      </c>
      <c r="P204" s="29"/>
      <c r="Q204" s="29"/>
      <c r="R204" s="29"/>
      <c r="S204" s="28">
        <f t="shared" si="18"/>
        <v>0</v>
      </c>
      <c r="T204" s="28">
        <f t="shared" si="19"/>
        <v>0</v>
      </c>
      <c r="U204" s="12"/>
      <c r="V204" s="12" t="str">
        <f ca="1">IF(A204&gt;TODAY(),"FUTURO",IF(AND(K204=0,N204=0,S204=0),"SIN MOVIMIENTO",IF(ABS(T204)&lt;='Metas y Control'!$B$6,"OK","REVISAR CAJA")))</f>
        <v>SIN MOVIMIENTO</v>
      </c>
    </row>
    <row r="205" spans="1:22" x14ac:dyDescent="0.3">
      <c r="A205" s="25">
        <f>IF(YEAR(A204+1)=Dashboard!$B$2,A204+1,"")</f>
        <v>46223</v>
      </c>
      <c r="B205" s="26" t="str">
        <f t="shared" si="15"/>
        <v>julio</v>
      </c>
      <c r="C205" s="24"/>
      <c r="D205" s="24"/>
      <c r="E205" s="24"/>
      <c r="F205" s="24"/>
      <c r="G205" s="24"/>
      <c r="H205" s="24"/>
      <c r="I205" s="24"/>
      <c r="J205" s="24"/>
      <c r="K205" s="27">
        <f t="shared" si="16"/>
        <v>0</v>
      </c>
      <c r="L205" s="28">
        <f>IF(A205="","",C205*'Menu Productos'!$F$5+D205*'Menu Productos'!$F$6+E205*'Menu Productos'!$F$7+F205*'Menu Productos'!$F$8+G205*'Menu Productos'!$F$9+H205*'Menu Productos'!$F$10+I205*'Menu Productos'!$F$11+J205*'Menu Productos'!$F$12)</f>
        <v>0</v>
      </c>
      <c r="M205" s="28">
        <f>IF(A205="","",C205*'Menu Productos'!$E$5+D205*'Menu Productos'!$E$6+E205*'Menu Productos'!$E$7+F205*'Menu Productos'!$E$8+G205*'Menu Productos'!$E$9+H205*'Menu Productos'!$E$10+I205*'Menu Productos'!$E$11+J205*'Menu Productos'!$E$12)</f>
        <v>0</v>
      </c>
      <c r="N205" s="29"/>
      <c r="O205" s="28">
        <f t="shared" si="17"/>
        <v>0</v>
      </c>
      <c r="P205" s="29"/>
      <c r="Q205" s="29"/>
      <c r="R205" s="29"/>
      <c r="S205" s="28">
        <f t="shared" si="18"/>
        <v>0</v>
      </c>
      <c r="T205" s="28">
        <f t="shared" si="19"/>
        <v>0</v>
      </c>
      <c r="U205" s="12"/>
      <c r="V205" s="12" t="str">
        <f ca="1">IF(A205&gt;TODAY(),"FUTURO",IF(AND(K205=0,N205=0,S205=0),"SIN MOVIMIENTO",IF(ABS(T205)&lt;='Metas y Control'!$B$6,"OK","REVISAR CAJA")))</f>
        <v>SIN MOVIMIENTO</v>
      </c>
    </row>
    <row r="206" spans="1:22" x14ac:dyDescent="0.3">
      <c r="A206" s="25">
        <f>IF(YEAR(A205+1)=Dashboard!$B$2,A205+1,"")</f>
        <v>46224</v>
      </c>
      <c r="B206" s="26" t="str">
        <f t="shared" si="15"/>
        <v>julio</v>
      </c>
      <c r="C206" s="24"/>
      <c r="D206" s="24"/>
      <c r="E206" s="24"/>
      <c r="F206" s="24"/>
      <c r="G206" s="24"/>
      <c r="H206" s="24"/>
      <c r="I206" s="24"/>
      <c r="J206" s="24"/>
      <c r="K206" s="27">
        <f t="shared" si="16"/>
        <v>0</v>
      </c>
      <c r="L206" s="28">
        <f>IF(A206="","",C206*'Menu Productos'!$F$5+D206*'Menu Productos'!$F$6+E206*'Menu Productos'!$F$7+F206*'Menu Productos'!$F$8+G206*'Menu Productos'!$F$9+H206*'Menu Productos'!$F$10+I206*'Menu Productos'!$F$11+J206*'Menu Productos'!$F$12)</f>
        <v>0</v>
      </c>
      <c r="M206" s="28">
        <f>IF(A206="","",C206*'Menu Productos'!$E$5+D206*'Menu Productos'!$E$6+E206*'Menu Productos'!$E$7+F206*'Menu Productos'!$E$8+G206*'Menu Productos'!$E$9+H206*'Menu Productos'!$E$10+I206*'Menu Productos'!$E$11+J206*'Menu Productos'!$E$12)</f>
        <v>0</v>
      </c>
      <c r="N206" s="29"/>
      <c r="O206" s="28">
        <f t="shared" si="17"/>
        <v>0</v>
      </c>
      <c r="P206" s="29"/>
      <c r="Q206" s="29"/>
      <c r="R206" s="29"/>
      <c r="S206" s="28">
        <f t="shared" si="18"/>
        <v>0</v>
      </c>
      <c r="T206" s="28">
        <f t="shared" si="19"/>
        <v>0</v>
      </c>
      <c r="U206" s="12"/>
      <c r="V206" s="12" t="str">
        <f ca="1">IF(A206&gt;TODAY(),"FUTURO",IF(AND(K206=0,N206=0,S206=0),"SIN MOVIMIENTO",IF(ABS(T206)&lt;='Metas y Control'!$B$6,"OK","REVISAR CAJA")))</f>
        <v>SIN MOVIMIENTO</v>
      </c>
    </row>
    <row r="207" spans="1:22" x14ac:dyDescent="0.3">
      <c r="A207" s="25">
        <f>IF(YEAR(A206+1)=Dashboard!$B$2,A206+1,"")</f>
        <v>46225</v>
      </c>
      <c r="B207" s="26" t="str">
        <f t="shared" si="15"/>
        <v>julio</v>
      </c>
      <c r="C207" s="24"/>
      <c r="D207" s="24"/>
      <c r="E207" s="24"/>
      <c r="F207" s="24"/>
      <c r="G207" s="24"/>
      <c r="H207" s="24"/>
      <c r="I207" s="24"/>
      <c r="J207" s="24"/>
      <c r="K207" s="27">
        <f t="shared" si="16"/>
        <v>0</v>
      </c>
      <c r="L207" s="28">
        <f>IF(A207="","",C207*'Menu Productos'!$F$5+D207*'Menu Productos'!$F$6+E207*'Menu Productos'!$F$7+F207*'Menu Productos'!$F$8+G207*'Menu Productos'!$F$9+H207*'Menu Productos'!$F$10+I207*'Menu Productos'!$F$11+J207*'Menu Productos'!$F$12)</f>
        <v>0</v>
      </c>
      <c r="M207" s="28">
        <f>IF(A207="","",C207*'Menu Productos'!$E$5+D207*'Menu Productos'!$E$6+E207*'Menu Productos'!$E$7+F207*'Menu Productos'!$E$8+G207*'Menu Productos'!$E$9+H207*'Menu Productos'!$E$10+I207*'Menu Productos'!$E$11+J207*'Menu Productos'!$E$12)</f>
        <v>0</v>
      </c>
      <c r="N207" s="29"/>
      <c r="O207" s="28">
        <f t="shared" si="17"/>
        <v>0</v>
      </c>
      <c r="P207" s="29"/>
      <c r="Q207" s="29"/>
      <c r="R207" s="29"/>
      <c r="S207" s="28">
        <f t="shared" si="18"/>
        <v>0</v>
      </c>
      <c r="T207" s="28">
        <f t="shared" si="19"/>
        <v>0</v>
      </c>
      <c r="U207" s="12"/>
      <c r="V207" s="12" t="str">
        <f ca="1">IF(A207&gt;TODAY(),"FUTURO",IF(AND(K207=0,N207=0,S207=0),"SIN MOVIMIENTO",IF(ABS(T207)&lt;='Metas y Control'!$B$6,"OK","REVISAR CAJA")))</f>
        <v>SIN MOVIMIENTO</v>
      </c>
    </row>
    <row r="208" spans="1:22" x14ac:dyDescent="0.3">
      <c r="A208" s="25">
        <f>IF(YEAR(A207+1)=Dashboard!$B$2,A207+1,"")</f>
        <v>46226</v>
      </c>
      <c r="B208" s="26" t="str">
        <f t="shared" si="15"/>
        <v>julio</v>
      </c>
      <c r="C208" s="24"/>
      <c r="D208" s="24"/>
      <c r="E208" s="24"/>
      <c r="F208" s="24"/>
      <c r="G208" s="24"/>
      <c r="H208" s="24"/>
      <c r="I208" s="24"/>
      <c r="J208" s="24"/>
      <c r="K208" s="27">
        <f t="shared" si="16"/>
        <v>0</v>
      </c>
      <c r="L208" s="28">
        <f>IF(A208="","",C208*'Menu Productos'!$F$5+D208*'Menu Productos'!$F$6+E208*'Menu Productos'!$F$7+F208*'Menu Productos'!$F$8+G208*'Menu Productos'!$F$9+H208*'Menu Productos'!$F$10+I208*'Menu Productos'!$F$11+J208*'Menu Productos'!$F$12)</f>
        <v>0</v>
      </c>
      <c r="M208" s="28">
        <f>IF(A208="","",C208*'Menu Productos'!$E$5+D208*'Menu Productos'!$E$6+E208*'Menu Productos'!$E$7+F208*'Menu Productos'!$E$8+G208*'Menu Productos'!$E$9+H208*'Menu Productos'!$E$10+I208*'Menu Productos'!$E$11+J208*'Menu Productos'!$E$12)</f>
        <v>0</v>
      </c>
      <c r="N208" s="29"/>
      <c r="O208" s="28">
        <f t="shared" si="17"/>
        <v>0</v>
      </c>
      <c r="P208" s="29"/>
      <c r="Q208" s="29"/>
      <c r="R208" s="29"/>
      <c r="S208" s="28">
        <f t="shared" si="18"/>
        <v>0</v>
      </c>
      <c r="T208" s="28">
        <f t="shared" si="19"/>
        <v>0</v>
      </c>
      <c r="U208" s="12"/>
      <c r="V208" s="12" t="str">
        <f ca="1">IF(A208&gt;TODAY(),"FUTURO",IF(AND(K208=0,N208=0,S208=0),"SIN MOVIMIENTO",IF(ABS(T208)&lt;='Metas y Control'!$B$6,"OK","REVISAR CAJA")))</f>
        <v>SIN MOVIMIENTO</v>
      </c>
    </row>
    <row r="209" spans="1:22" x14ac:dyDescent="0.3">
      <c r="A209" s="25">
        <f>IF(YEAR(A208+1)=Dashboard!$B$2,A208+1,"")</f>
        <v>46227</v>
      </c>
      <c r="B209" s="26" t="str">
        <f t="shared" si="15"/>
        <v>julio</v>
      </c>
      <c r="C209" s="24"/>
      <c r="D209" s="24"/>
      <c r="E209" s="24"/>
      <c r="F209" s="24"/>
      <c r="G209" s="24"/>
      <c r="H209" s="24"/>
      <c r="I209" s="24"/>
      <c r="J209" s="24"/>
      <c r="K209" s="27">
        <f t="shared" si="16"/>
        <v>0</v>
      </c>
      <c r="L209" s="28">
        <f>IF(A209="","",C209*'Menu Productos'!$F$5+D209*'Menu Productos'!$F$6+E209*'Menu Productos'!$F$7+F209*'Menu Productos'!$F$8+G209*'Menu Productos'!$F$9+H209*'Menu Productos'!$F$10+I209*'Menu Productos'!$F$11+J209*'Menu Productos'!$F$12)</f>
        <v>0</v>
      </c>
      <c r="M209" s="28">
        <f>IF(A209="","",C209*'Menu Productos'!$E$5+D209*'Menu Productos'!$E$6+E209*'Menu Productos'!$E$7+F209*'Menu Productos'!$E$8+G209*'Menu Productos'!$E$9+H209*'Menu Productos'!$E$10+I209*'Menu Productos'!$E$11+J209*'Menu Productos'!$E$12)</f>
        <v>0</v>
      </c>
      <c r="N209" s="29"/>
      <c r="O209" s="28">
        <f t="shared" si="17"/>
        <v>0</v>
      </c>
      <c r="P209" s="29"/>
      <c r="Q209" s="29"/>
      <c r="R209" s="29"/>
      <c r="S209" s="28">
        <f t="shared" si="18"/>
        <v>0</v>
      </c>
      <c r="T209" s="28">
        <f t="shared" si="19"/>
        <v>0</v>
      </c>
      <c r="U209" s="12"/>
      <c r="V209" s="12" t="str">
        <f ca="1">IF(A209&gt;TODAY(),"FUTURO",IF(AND(K209=0,N209=0,S209=0),"SIN MOVIMIENTO",IF(ABS(T209)&lt;='Metas y Control'!$B$6,"OK","REVISAR CAJA")))</f>
        <v>SIN MOVIMIENTO</v>
      </c>
    </row>
    <row r="210" spans="1:22" x14ac:dyDescent="0.3">
      <c r="A210" s="25">
        <f>IF(YEAR(A209+1)=Dashboard!$B$2,A209+1,"")</f>
        <v>46228</v>
      </c>
      <c r="B210" s="26" t="str">
        <f t="shared" si="15"/>
        <v>julio</v>
      </c>
      <c r="C210" s="24"/>
      <c r="D210" s="24"/>
      <c r="E210" s="24"/>
      <c r="F210" s="24"/>
      <c r="G210" s="24"/>
      <c r="H210" s="24"/>
      <c r="I210" s="24"/>
      <c r="J210" s="24"/>
      <c r="K210" s="27">
        <f t="shared" si="16"/>
        <v>0</v>
      </c>
      <c r="L210" s="28">
        <f>IF(A210="","",C210*'Menu Productos'!$F$5+D210*'Menu Productos'!$F$6+E210*'Menu Productos'!$F$7+F210*'Menu Productos'!$F$8+G210*'Menu Productos'!$F$9+H210*'Menu Productos'!$F$10+I210*'Menu Productos'!$F$11+J210*'Menu Productos'!$F$12)</f>
        <v>0</v>
      </c>
      <c r="M210" s="28">
        <f>IF(A210="","",C210*'Menu Productos'!$E$5+D210*'Menu Productos'!$E$6+E210*'Menu Productos'!$E$7+F210*'Menu Productos'!$E$8+G210*'Menu Productos'!$E$9+H210*'Menu Productos'!$E$10+I210*'Menu Productos'!$E$11+J210*'Menu Productos'!$E$12)</f>
        <v>0</v>
      </c>
      <c r="N210" s="29"/>
      <c r="O210" s="28">
        <f t="shared" si="17"/>
        <v>0</v>
      </c>
      <c r="P210" s="29"/>
      <c r="Q210" s="29"/>
      <c r="R210" s="29"/>
      <c r="S210" s="28">
        <f t="shared" si="18"/>
        <v>0</v>
      </c>
      <c r="T210" s="28">
        <f t="shared" si="19"/>
        <v>0</v>
      </c>
      <c r="U210" s="12"/>
      <c r="V210" s="12" t="str">
        <f ca="1">IF(A210&gt;TODAY(),"FUTURO",IF(AND(K210=0,N210=0,S210=0),"SIN MOVIMIENTO",IF(ABS(T210)&lt;='Metas y Control'!$B$6,"OK","REVISAR CAJA")))</f>
        <v>SIN MOVIMIENTO</v>
      </c>
    </row>
    <row r="211" spans="1:22" x14ac:dyDescent="0.3">
      <c r="A211" s="25">
        <f>IF(YEAR(A210+1)=Dashboard!$B$2,A210+1,"")</f>
        <v>46229</v>
      </c>
      <c r="B211" s="26" t="str">
        <f t="shared" si="15"/>
        <v>julio</v>
      </c>
      <c r="C211" s="24"/>
      <c r="D211" s="24"/>
      <c r="E211" s="24"/>
      <c r="F211" s="24"/>
      <c r="G211" s="24"/>
      <c r="H211" s="24"/>
      <c r="I211" s="24"/>
      <c r="J211" s="24"/>
      <c r="K211" s="27">
        <f t="shared" si="16"/>
        <v>0</v>
      </c>
      <c r="L211" s="28">
        <f>IF(A211="","",C211*'Menu Productos'!$F$5+D211*'Menu Productos'!$F$6+E211*'Menu Productos'!$F$7+F211*'Menu Productos'!$F$8+G211*'Menu Productos'!$F$9+H211*'Menu Productos'!$F$10+I211*'Menu Productos'!$F$11+J211*'Menu Productos'!$F$12)</f>
        <v>0</v>
      </c>
      <c r="M211" s="28">
        <f>IF(A211="","",C211*'Menu Productos'!$E$5+D211*'Menu Productos'!$E$6+E211*'Menu Productos'!$E$7+F211*'Menu Productos'!$E$8+G211*'Menu Productos'!$E$9+H211*'Menu Productos'!$E$10+I211*'Menu Productos'!$E$11+J211*'Menu Productos'!$E$12)</f>
        <v>0</v>
      </c>
      <c r="N211" s="29"/>
      <c r="O211" s="28">
        <f t="shared" si="17"/>
        <v>0</v>
      </c>
      <c r="P211" s="29"/>
      <c r="Q211" s="29"/>
      <c r="R211" s="29"/>
      <c r="S211" s="28">
        <f t="shared" si="18"/>
        <v>0</v>
      </c>
      <c r="T211" s="28">
        <f t="shared" si="19"/>
        <v>0</v>
      </c>
      <c r="U211" s="12"/>
      <c r="V211" s="12" t="str">
        <f ca="1">IF(A211&gt;TODAY(),"FUTURO",IF(AND(K211=0,N211=0,S211=0),"SIN MOVIMIENTO",IF(ABS(T211)&lt;='Metas y Control'!$B$6,"OK","REVISAR CAJA")))</f>
        <v>SIN MOVIMIENTO</v>
      </c>
    </row>
    <row r="212" spans="1:22" x14ac:dyDescent="0.3">
      <c r="A212" s="25">
        <f>IF(YEAR(A211+1)=Dashboard!$B$2,A211+1,"")</f>
        <v>46230</v>
      </c>
      <c r="B212" s="26" t="str">
        <f t="shared" si="15"/>
        <v>julio</v>
      </c>
      <c r="C212" s="24"/>
      <c r="D212" s="24"/>
      <c r="E212" s="24"/>
      <c r="F212" s="24"/>
      <c r="G212" s="24"/>
      <c r="H212" s="24"/>
      <c r="I212" s="24"/>
      <c r="J212" s="24"/>
      <c r="K212" s="27">
        <f t="shared" si="16"/>
        <v>0</v>
      </c>
      <c r="L212" s="28">
        <f>IF(A212="","",C212*'Menu Productos'!$F$5+D212*'Menu Productos'!$F$6+E212*'Menu Productos'!$F$7+F212*'Menu Productos'!$F$8+G212*'Menu Productos'!$F$9+H212*'Menu Productos'!$F$10+I212*'Menu Productos'!$F$11+J212*'Menu Productos'!$F$12)</f>
        <v>0</v>
      </c>
      <c r="M212" s="28">
        <f>IF(A212="","",C212*'Menu Productos'!$E$5+D212*'Menu Productos'!$E$6+E212*'Menu Productos'!$E$7+F212*'Menu Productos'!$E$8+G212*'Menu Productos'!$E$9+H212*'Menu Productos'!$E$10+I212*'Menu Productos'!$E$11+J212*'Menu Productos'!$E$12)</f>
        <v>0</v>
      </c>
      <c r="N212" s="29"/>
      <c r="O212" s="28">
        <f t="shared" si="17"/>
        <v>0</v>
      </c>
      <c r="P212" s="29"/>
      <c r="Q212" s="29"/>
      <c r="R212" s="29"/>
      <c r="S212" s="28">
        <f t="shared" si="18"/>
        <v>0</v>
      </c>
      <c r="T212" s="28">
        <f t="shared" si="19"/>
        <v>0</v>
      </c>
      <c r="U212" s="12"/>
      <c r="V212" s="12" t="str">
        <f ca="1">IF(A212&gt;TODAY(),"FUTURO",IF(AND(K212=0,N212=0,S212=0),"SIN MOVIMIENTO",IF(ABS(T212)&lt;='Metas y Control'!$B$6,"OK","REVISAR CAJA")))</f>
        <v>SIN MOVIMIENTO</v>
      </c>
    </row>
    <row r="213" spans="1:22" x14ac:dyDescent="0.3">
      <c r="A213" s="25">
        <f>IF(YEAR(A212+1)=Dashboard!$B$2,A212+1,"")</f>
        <v>46231</v>
      </c>
      <c r="B213" s="26" t="str">
        <f t="shared" si="15"/>
        <v>julio</v>
      </c>
      <c r="C213" s="24"/>
      <c r="D213" s="24"/>
      <c r="E213" s="24"/>
      <c r="F213" s="24"/>
      <c r="G213" s="24"/>
      <c r="H213" s="24"/>
      <c r="I213" s="24"/>
      <c r="J213" s="24"/>
      <c r="K213" s="27">
        <f t="shared" si="16"/>
        <v>0</v>
      </c>
      <c r="L213" s="28">
        <f>IF(A213="","",C213*'Menu Productos'!$F$5+D213*'Menu Productos'!$F$6+E213*'Menu Productos'!$F$7+F213*'Menu Productos'!$F$8+G213*'Menu Productos'!$F$9+H213*'Menu Productos'!$F$10+I213*'Menu Productos'!$F$11+J213*'Menu Productos'!$F$12)</f>
        <v>0</v>
      </c>
      <c r="M213" s="28">
        <f>IF(A213="","",C213*'Menu Productos'!$E$5+D213*'Menu Productos'!$E$6+E213*'Menu Productos'!$E$7+F213*'Menu Productos'!$E$8+G213*'Menu Productos'!$E$9+H213*'Menu Productos'!$E$10+I213*'Menu Productos'!$E$11+J213*'Menu Productos'!$E$12)</f>
        <v>0</v>
      </c>
      <c r="N213" s="29"/>
      <c r="O213" s="28">
        <f t="shared" si="17"/>
        <v>0</v>
      </c>
      <c r="P213" s="29"/>
      <c r="Q213" s="29"/>
      <c r="R213" s="29"/>
      <c r="S213" s="28">
        <f t="shared" si="18"/>
        <v>0</v>
      </c>
      <c r="T213" s="28">
        <f t="shared" si="19"/>
        <v>0</v>
      </c>
      <c r="U213" s="12"/>
      <c r="V213" s="12" t="str">
        <f ca="1">IF(A213&gt;TODAY(),"FUTURO",IF(AND(K213=0,N213=0,S213=0),"SIN MOVIMIENTO",IF(ABS(T213)&lt;='Metas y Control'!$B$6,"OK","REVISAR CAJA")))</f>
        <v>SIN MOVIMIENTO</v>
      </c>
    </row>
    <row r="214" spans="1:22" x14ac:dyDescent="0.3">
      <c r="A214" s="25">
        <f>IF(YEAR(A213+1)=Dashboard!$B$2,A213+1,"")</f>
        <v>46232</v>
      </c>
      <c r="B214" s="26" t="str">
        <f t="shared" si="15"/>
        <v>julio</v>
      </c>
      <c r="C214" s="24"/>
      <c r="D214" s="24"/>
      <c r="E214" s="24"/>
      <c r="F214" s="24"/>
      <c r="G214" s="24"/>
      <c r="H214" s="24"/>
      <c r="I214" s="24"/>
      <c r="J214" s="24"/>
      <c r="K214" s="27">
        <f t="shared" si="16"/>
        <v>0</v>
      </c>
      <c r="L214" s="28">
        <f>IF(A214="","",C214*'Menu Productos'!$F$5+D214*'Menu Productos'!$F$6+E214*'Menu Productos'!$F$7+F214*'Menu Productos'!$F$8+G214*'Menu Productos'!$F$9+H214*'Menu Productos'!$F$10+I214*'Menu Productos'!$F$11+J214*'Menu Productos'!$F$12)</f>
        <v>0</v>
      </c>
      <c r="M214" s="28">
        <f>IF(A214="","",C214*'Menu Productos'!$E$5+D214*'Menu Productos'!$E$6+E214*'Menu Productos'!$E$7+F214*'Menu Productos'!$E$8+G214*'Menu Productos'!$E$9+H214*'Menu Productos'!$E$10+I214*'Menu Productos'!$E$11+J214*'Menu Productos'!$E$12)</f>
        <v>0</v>
      </c>
      <c r="N214" s="29"/>
      <c r="O214" s="28">
        <f t="shared" si="17"/>
        <v>0</v>
      </c>
      <c r="P214" s="29"/>
      <c r="Q214" s="29"/>
      <c r="R214" s="29"/>
      <c r="S214" s="28">
        <f t="shared" si="18"/>
        <v>0</v>
      </c>
      <c r="T214" s="28">
        <f t="shared" si="19"/>
        <v>0</v>
      </c>
      <c r="U214" s="12"/>
      <c r="V214" s="12" t="str">
        <f ca="1">IF(A214&gt;TODAY(),"FUTURO",IF(AND(K214=0,N214=0,S214=0),"SIN MOVIMIENTO",IF(ABS(T214)&lt;='Metas y Control'!$B$6,"OK","REVISAR CAJA")))</f>
        <v>SIN MOVIMIENTO</v>
      </c>
    </row>
    <row r="215" spans="1:22" x14ac:dyDescent="0.3">
      <c r="A215" s="25">
        <f>IF(YEAR(A214+1)=Dashboard!$B$2,A214+1,"")</f>
        <v>46233</v>
      </c>
      <c r="B215" s="26" t="str">
        <f t="shared" si="15"/>
        <v>julio</v>
      </c>
      <c r="C215" s="24"/>
      <c r="D215" s="24"/>
      <c r="E215" s="24"/>
      <c r="F215" s="24"/>
      <c r="G215" s="24"/>
      <c r="H215" s="24"/>
      <c r="I215" s="24"/>
      <c r="J215" s="24"/>
      <c r="K215" s="27">
        <f t="shared" si="16"/>
        <v>0</v>
      </c>
      <c r="L215" s="28">
        <f>IF(A215="","",C215*'Menu Productos'!$F$5+D215*'Menu Productos'!$F$6+E215*'Menu Productos'!$F$7+F215*'Menu Productos'!$F$8+G215*'Menu Productos'!$F$9+H215*'Menu Productos'!$F$10+I215*'Menu Productos'!$F$11+J215*'Menu Productos'!$F$12)</f>
        <v>0</v>
      </c>
      <c r="M215" s="28">
        <f>IF(A215="","",C215*'Menu Productos'!$E$5+D215*'Menu Productos'!$E$6+E215*'Menu Productos'!$E$7+F215*'Menu Productos'!$E$8+G215*'Menu Productos'!$E$9+H215*'Menu Productos'!$E$10+I215*'Menu Productos'!$E$11+J215*'Menu Productos'!$E$12)</f>
        <v>0</v>
      </c>
      <c r="N215" s="29"/>
      <c r="O215" s="28">
        <f t="shared" si="17"/>
        <v>0</v>
      </c>
      <c r="P215" s="29"/>
      <c r="Q215" s="29"/>
      <c r="R215" s="29"/>
      <c r="S215" s="28">
        <f t="shared" si="18"/>
        <v>0</v>
      </c>
      <c r="T215" s="28">
        <f t="shared" si="19"/>
        <v>0</v>
      </c>
      <c r="U215" s="12"/>
      <c r="V215" s="12" t="str">
        <f ca="1">IF(A215&gt;TODAY(),"FUTURO",IF(AND(K215=0,N215=0,S215=0),"SIN MOVIMIENTO",IF(ABS(T215)&lt;='Metas y Control'!$B$6,"OK","REVISAR CAJA")))</f>
        <v>SIN MOVIMIENTO</v>
      </c>
    </row>
    <row r="216" spans="1:22" x14ac:dyDescent="0.3">
      <c r="A216" s="25">
        <f>IF(YEAR(A215+1)=Dashboard!$B$2,A215+1,"")</f>
        <v>46234</v>
      </c>
      <c r="B216" s="26" t="str">
        <f t="shared" si="15"/>
        <v>julio</v>
      </c>
      <c r="C216" s="24"/>
      <c r="D216" s="24"/>
      <c r="E216" s="24"/>
      <c r="F216" s="24"/>
      <c r="G216" s="24"/>
      <c r="H216" s="24"/>
      <c r="I216" s="24"/>
      <c r="J216" s="24"/>
      <c r="K216" s="27">
        <f t="shared" si="16"/>
        <v>0</v>
      </c>
      <c r="L216" s="28">
        <f>IF(A216="","",C216*'Menu Productos'!$F$5+D216*'Menu Productos'!$F$6+E216*'Menu Productos'!$F$7+F216*'Menu Productos'!$F$8+G216*'Menu Productos'!$F$9+H216*'Menu Productos'!$F$10+I216*'Menu Productos'!$F$11+J216*'Menu Productos'!$F$12)</f>
        <v>0</v>
      </c>
      <c r="M216" s="28">
        <f>IF(A216="","",C216*'Menu Productos'!$E$5+D216*'Menu Productos'!$E$6+E216*'Menu Productos'!$E$7+F216*'Menu Productos'!$E$8+G216*'Menu Productos'!$E$9+H216*'Menu Productos'!$E$10+I216*'Menu Productos'!$E$11+J216*'Menu Productos'!$E$12)</f>
        <v>0</v>
      </c>
      <c r="N216" s="29"/>
      <c r="O216" s="28">
        <f t="shared" si="17"/>
        <v>0</v>
      </c>
      <c r="P216" s="29"/>
      <c r="Q216" s="29"/>
      <c r="R216" s="29"/>
      <c r="S216" s="28">
        <f t="shared" si="18"/>
        <v>0</v>
      </c>
      <c r="T216" s="28">
        <f t="shared" si="19"/>
        <v>0</v>
      </c>
      <c r="U216" s="12"/>
      <c r="V216" s="12" t="str">
        <f ca="1">IF(A216&gt;TODAY(),"FUTURO",IF(AND(K216=0,N216=0,S216=0),"SIN MOVIMIENTO",IF(ABS(T216)&lt;='Metas y Control'!$B$6,"OK","REVISAR CAJA")))</f>
        <v>SIN MOVIMIENTO</v>
      </c>
    </row>
    <row r="217" spans="1:22" x14ac:dyDescent="0.3">
      <c r="A217" s="25">
        <f>IF(YEAR(A216+1)=Dashboard!$B$2,A216+1,"")</f>
        <v>46235</v>
      </c>
      <c r="B217" s="26" t="str">
        <f t="shared" si="15"/>
        <v>agosto</v>
      </c>
      <c r="C217" s="24"/>
      <c r="D217" s="24"/>
      <c r="E217" s="24"/>
      <c r="F217" s="24"/>
      <c r="G217" s="24"/>
      <c r="H217" s="24"/>
      <c r="I217" s="24"/>
      <c r="J217" s="24"/>
      <c r="K217" s="27">
        <f t="shared" si="16"/>
        <v>0</v>
      </c>
      <c r="L217" s="28">
        <f>IF(A217="","",C217*'Menu Productos'!$F$5+D217*'Menu Productos'!$F$6+E217*'Menu Productos'!$F$7+F217*'Menu Productos'!$F$8+G217*'Menu Productos'!$F$9+H217*'Menu Productos'!$F$10+I217*'Menu Productos'!$F$11+J217*'Menu Productos'!$F$12)</f>
        <v>0</v>
      </c>
      <c r="M217" s="28">
        <f>IF(A217="","",C217*'Menu Productos'!$E$5+D217*'Menu Productos'!$E$6+E217*'Menu Productos'!$E$7+F217*'Menu Productos'!$E$8+G217*'Menu Productos'!$E$9+H217*'Menu Productos'!$E$10+I217*'Menu Productos'!$E$11+J217*'Menu Productos'!$E$12)</f>
        <v>0</v>
      </c>
      <c r="N217" s="29"/>
      <c r="O217" s="28">
        <f t="shared" si="17"/>
        <v>0</v>
      </c>
      <c r="P217" s="29"/>
      <c r="Q217" s="29"/>
      <c r="R217" s="29"/>
      <c r="S217" s="28">
        <f t="shared" si="18"/>
        <v>0</v>
      </c>
      <c r="T217" s="28">
        <f t="shared" si="19"/>
        <v>0</v>
      </c>
      <c r="U217" s="12"/>
      <c r="V217" s="12" t="str">
        <f ca="1">IF(A217&gt;TODAY(),"FUTURO",IF(AND(K217=0,N217=0,S217=0),"SIN MOVIMIENTO",IF(ABS(T217)&lt;='Metas y Control'!$B$6,"OK","REVISAR CAJA")))</f>
        <v>SIN MOVIMIENTO</v>
      </c>
    </row>
    <row r="218" spans="1:22" x14ac:dyDescent="0.3">
      <c r="A218" s="25">
        <f>IF(YEAR(A217+1)=Dashboard!$B$2,A217+1,"")</f>
        <v>46236</v>
      </c>
      <c r="B218" s="26" t="str">
        <f t="shared" si="15"/>
        <v>agosto</v>
      </c>
      <c r="C218" s="24"/>
      <c r="D218" s="24"/>
      <c r="E218" s="24"/>
      <c r="F218" s="24"/>
      <c r="G218" s="24"/>
      <c r="H218" s="24"/>
      <c r="I218" s="24"/>
      <c r="J218" s="24"/>
      <c r="K218" s="27">
        <f t="shared" si="16"/>
        <v>0</v>
      </c>
      <c r="L218" s="28">
        <f>IF(A218="","",C218*'Menu Productos'!$F$5+D218*'Menu Productos'!$F$6+E218*'Menu Productos'!$F$7+F218*'Menu Productos'!$F$8+G218*'Menu Productos'!$F$9+H218*'Menu Productos'!$F$10+I218*'Menu Productos'!$F$11+J218*'Menu Productos'!$F$12)</f>
        <v>0</v>
      </c>
      <c r="M218" s="28">
        <f>IF(A218="","",C218*'Menu Productos'!$E$5+D218*'Menu Productos'!$E$6+E218*'Menu Productos'!$E$7+F218*'Menu Productos'!$E$8+G218*'Menu Productos'!$E$9+H218*'Menu Productos'!$E$10+I218*'Menu Productos'!$E$11+J218*'Menu Productos'!$E$12)</f>
        <v>0</v>
      </c>
      <c r="N218" s="29"/>
      <c r="O218" s="28">
        <f t="shared" si="17"/>
        <v>0</v>
      </c>
      <c r="P218" s="29"/>
      <c r="Q218" s="29"/>
      <c r="R218" s="29"/>
      <c r="S218" s="28">
        <f t="shared" si="18"/>
        <v>0</v>
      </c>
      <c r="T218" s="28">
        <f t="shared" si="19"/>
        <v>0</v>
      </c>
      <c r="U218" s="12"/>
      <c r="V218" s="12" t="str">
        <f ca="1">IF(A218&gt;TODAY(),"FUTURO",IF(AND(K218=0,N218=0,S218=0),"SIN MOVIMIENTO",IF(ABS(T218)&lt;='Metas y Control'!$B$6,"OK","REVISAR CAJA")))</f>
        <v>SIN MOVIMIENTO</v>
      </c>
    </row>
    <row r="219" spans="1:22" x14ac:dyDescent="0.3">
      <c r="A219" s="25">
        <f>IF(YEAR(A218+1)=Dashboard!$B$2,A218+1,"")</f>
        <v>46237</v>
      </c>
      <c r="B219" s="26" t="str">
        <f t="shared" si="15"/>
        <v>agosto</v>
      </c>
      <c r="C219" s="24"/>
      <c r="D219" s="24"/>
      <c r="E219" s="24"/>
      <c r="F219" s="24"/>
      <c r="G219" s="24"/>
      <c r="H219" s="24"/>
      <c r="I219" s="24"/>
      <c r="J219" s="24"/>
      <c r="K219" s="27">
        <f t="shared" si="16"/>
        <v>0</v>
      </c>
      <c r="L219" s="28">
        <f>IF(A219="","",C219*'Menu Productos'!$F$5+D219*'Menu Productos'!$F$6+E219*'Menu Productos'!$F$7+F219*'Menu Productos'!$F$8+G219*'Menu Productos'!$F$9+H219*'Menu Productos'!$F$10+I219*'Menu Productos'!$F$11+J219*'Menu Productos'!$F$12)</f>
        <v>0</v>
      </c>
      <c r="M219" s="28">
        <f>IF(A219="","",C219*'Menu Productos'!$E$5+D219*'Menu Productos'!$E$6+E219*'Menu Productos'!$E$7+F219*'Menu Productos'!$E$8+G219*'Menu Productos'!$E$9+H219*'Menu Productos'!$E$10+I219*'Menu Productos'!$E$11+J219*'Menu Productos'!$E$12)</f>
        <v>0</v>
      </c>
      <c r="N219" s="29"/>
      <c r="O219" s="28">
        <f t="shared" si="17"/>
        <v>0</v>
      </c>
      <c r="P219" s="29"/>
      <c r="Q219" s="29"/>
      <c r="R219" s="29"/>
      <c r="S219" s="28">
        <f t="shared" si="18"/>
        <v>0</v>
      </c>
      <c r="T219" s="28">
        <f t="shared" si="19"/>
        <v>0</v>
      </c>
      <c r="U219" s="12"/>
      <c r="V219" s="12" t="str">
        <f ca="1">IF(A219&gt;TODAY(),"FUTURO",IF(AND(K219=0,N219=0,S219=0),"SIN MOVIMIENTO",IF(ABS(T219)&lt;='Metas y Control'!$B$6,"OK","REVISAR CAJA")))</f>
        <v>SIN MOVIMIENTO</v>
      </c>
    </row>
    <row r="220" spans="1:22" x14ac:dyDescent="0.3">
      <c r="A220" s="25">
        <f>IF(YEAR(A219+1)=Dashboard!$B$2,A219+1,"")</f>
        <v>46238</v>
      </c>
      <c r="B220" s="26" t="str">
        <f t="shared" si="15"/>
        <v>agosto</v>
      </c>
      <c r="C220" s="24"/>
      <c r="D220" s="24"/>
      <c r="E220" s="24"/>
      <c r="F220" s="24"/>
      <c r="G220" s="24"/>
      <c r="H220" s="24"/>
      <c r="I220" s="24"/>
      <c r="J220" s="24"/>
      <c r="K220" s="27">
        <f t="shared" si="16"/>
        <v>0</v>
      </c>
      <c r="L220" s="28">
        <f>IF(A220="","",C220*'Menu Productos'!$F$5+D220*'Menu Productos'!$F$6+E220*'Menu Productos'!$F$7+F220*'Menu Productos'!$F$8+G220*'Menu Productos'!$F$9+H220*'Menu Productos'!$F$10+I220*'Menu Productos'!$F$11+J220*'Menu Productos'!$F$12)</f>
        <v>0</v>
      </c>
      <c r="M220" s="28">
        <f>IF(A220="","",C220*'Menu Productos'!$E$5+D220*'Menu Productos'!$E$6+E220*'Menu Productos'!$E$7+F220*'Menu Productos'!$E$8+G220*'Menu Productos'!$E$9+H220*'Menu Productos'!$E$10+I220*'Menu Productos'!$E$11+J220*'Menu Productos'!$E$12)</f>
        <v>0</v>
      </c>
      <c r="N220" s="29"/>
      <c r="O220" s="28">
        <f t="shared" si="17"/>
        <v>0</v>
      </c>
      <c r="P220" s="29"/>
      <c r="Q220" s="29"/>
      <c r="R220" s="29"/>
      <c r="S220" s="28">
        <f t="shared" si="18"/>
        <v>0</v>
      </c>
      <c r="T220" s="28">
        <f t="shared" si="19"/>
        <v>0</v>
      </c>
      <c r="U220" s="12"/>
      <c r="V220" s="12" t="str">
        <f ca="1">IF(A220&gt;TODAY(),"FUTURO",IF(AND(K220=0,N220=0,S220=0),"SIN MOVIMIENTO",IF(ABS(T220)&lt;='Metas y Control'!$B$6,"OK","REVISAR CAJA")))</f>
        <v>SIN MOVIMIENTO</v>
      </c>
    </row>
    <row r="221" spans="1:22" x14ac:dyDescent="0.3">
      <c r="A221" s="25">
        <f>IF(YEAR(A220+1)=Dashboard!$B$2,A220+1,"")</f>
        <v>46239</v>
      </c>
      <c r="B221" s="26" t="str">
        <f t="shared" si="15"/>
        <v>agosto</v>
      </c>
      <c r="C221" s="24"/>
      <c r="D221" s="24"/>
      <c r="E221" s="24"/>
      <c r="F221" s="24"/>
      <c r="G221" s="24"/>
      <c r="H221" s="24"/>
      <c r="I221" s="24"/>
      <c r="J221" s="24"/>
      <c r="K221" s="27">
        <f t="shared" si="16"/>
        <v>0</v>
      </c>
      <c r="L221" s="28">
        <f>IF(A221="","",C221*'Menu Productos'!$F$5+D221*'Menu Productos'!$F$6+E221*'Menu Productos'!$F$7+F221*'Menu Productos'!$F$8+G221*'Menu Productos'!$F$9+H221*'Menu Productos'!$F$10+I221*'Menu Productos'!$F$11+J221*'Menu Productos'!$F$12)</f>
        <v>0</v>
      </c>
      <c r="M221" s="28">
        <f>IF(A221="","",C221*'Menu Productos'!$E$5+D221*'Menu Productos'!$E$6+E221*'Menu Productos'!$E$7+F221*'Menu Productos'!$E$8+G221*'Menu Productos'!$E$9+H221*'Menu Productos'!$E$10+I221*'Menu Productos'!$E$11+J221*'Menu Productos'!$E$12)</f>
        <v>0</v>
      </c>
      <c r="N221" s="29"/>
      <c r="O221" s="28">
        <f t="shared" si="17"/>
        <v>0</v>
      </c>
      <c r="P221" s="29"/>
      <c r="Q221" s="29"/>
      <c r="R221" s="29"/>
      <c r="S221" s="28">
        <f t="shared" si="18"/>
        <v>0</v>
      </c>
      <c r="T221" s="28">
        <f t="shared" si="19"/>
        <v>0</v>
      </c>
      <c r="U221" s="12"/>
      <c r="V221" s="12" t="str">
        <f ca="1">IF(A221&gt;TODAY(),"FUTURO",IF(AND(K221=0,N221=0,S221=0),"SIN MOVIMIENTO",IF(ABS(T221)&lt;='Metas y Control'!$B$6,"OK","REVISAR CAJA")))</f>
        <v>SIN MOVIMIENTO</v>
      </c>
    </row>
    <row r="222" spans="1:22" x14ac:dyDescent="0.3">
      <c r="A222" s="25">
        <f>IF(YEAR(A221+1)=Dashboard!$B$2,A221+1,"")</f>
        <v>46240</v>
      </c>
      <c r="B222" s="26" t="str">
        <f t="shared" si="15"/>
        <v>agosto</v>
      </c>
      <c r="C222" s="24"/>
      <c r="D222" s="24"/>
      <c r="E222" s="24"/>
      <c r="F222" s="24"/>
      <c r="G222" s="24"/>
      <c r="H222" s="24"/>
      <c r="I222" s="24"/>
      <c r="J222" s="24"/>
      <c r="K222" s="27">
        <f t="shared" si="16"/>
        <v>0</v>
      </c>
      <c r="L222" s="28">
        <f>IF(A222="","",C222*'Menu Productos'!$F$5+D222*'Menu Productos'!$F$6+E222*'Menu Productos'!$F$7+F222*'Menu Productos'!$F$8+G222*'Menu Productos'!$F$9+H222*'Menu Productos'!$F$10+I222*'Menu Productos'!$F$11+J222*'Menu Productos'!$F$12)</f>
        <v>0</v>
      </c>
      <c r="M222" s="28">
        <f>IF(A222="","",C222*'Menu Productos'!$E$5+D222*'Menu Productos'!$E$6+E222*'Menu Productos'!$E$7+F222*'Menu Productos'!$E$8+G222*'Menu Productos'!$E$9+H222*'Menu Productos'!$E$10+I222*'Menu Productos'!$E$11+J222*'Menu Productos'!$E$12)</f>
        <v>0</v>
      </c>
      <c r="N222" s="29"/>
      <c r="O222" s="28">
        <f t="shared" si="17"/>
        <v>0</v>
      </c>
      <c r="P222" s="29"/>
      <c r="Q222" s="29"/>
      <c r="R222" s="29"/>
      <c r="S222" s="28">
        <f t="shared" si="18"/>
        <v>0</v>
      </c>
      <c r="T222" s="28">
        <f t="shared" si="19"/>
        <v>0</v>
      </c>
      <c r="U222" s="12"/>
      <c r="V222" s="12" t="str">
        <f ca="1">IF(A222&gt;TODAY(),"FUTURO",IF(AND(K222=0,N222=0,S222=0),"SIN MOVIMIENTO",IF(ABS(T222)&lt;='Metas y Control'!$B$6,"OK","REVISAR CAJA")))</f>
        <v>SIN MOVIMIENTO</v>
      </c>
    </row>
    <row r="223" spans="1:22" x14ac:dyDescent="0.3">
      <c r="A223" s="25">
        <f>IF(YEAR(A222+1)=Dashboard!$B$2,A222+1,"")</f>
        <v>46241</v>
      </c>
      <c r="B223" s="26" t="str">
        <f t="shared" si="15"/>
        <v>agosto</v>
      </c>
      <c r="C223" s="24"/>
      <c r="D223" s="24"/>
      <c r="E223" s="24"/>
      <c r="F223" s="24"/>
      <c r="G223" s="24"/>
      <c r="H223" s="24"/>
      <c r="I223" s="24"/>
      <c r="J223" s="24"/>
      <c r="K223" s="27">
        <f t="shared" si="16"/>
        <v>0</v>
      </c>
      <c r="L223" s="28">
        <f>IF(A223="","",C223*'Menu Productos'!$F$5+D223*'Menu Productos'!$F$6+E223*'Menu Productos'!$F$7+F223*'Menu Productos'!$F$8+G223*'Menu Productos'!$F$9+H223*'Menu Productos'!$F$10+I223*'Menu Productos'!$F$11+J223*'Menu Productos'!$F$12)</f>
        <v>0</v>
      </c>
      <c r="M223" s="28">
        <f>IF(A223="","",C223*'Menu Productos'!$E$5+D223*'Menu Productos'!$E$6+E223*'Menu Productos'!$E$7+F223*'Menu Productos'!$E$8+G223*'Menu Productos'!$E$9+H223*'Menu Productos'!$E$10+I223*'Menu Productos'!$E$11+J223*'Menu Productos'!$E$12)</f>
        <v>0</v>
      </c>
      <c r="N223" s="29"/>
      <c r="O223" s="28">
        <f t="shared" si="17"/>
        <v>0</v>
      </c>
      <c r="P223" s="29"/>
      <c r="Q223" s="29"/>
      <c r="R223" s="29"/>
      <c r="S223" s="28">
        <f t="shared" si="18"/>
        <v>0</v>
      </c>
      <c r="T223" s="28">
        <f t="shared" si="19"/>
        <v>0</v>
      </c>
      <c r="U223" s="12"/>
      <c r="V223" s="12" t="str">
        <f ca="1">IF(A223&gt;TODAY(),"FUTURO",IF(AND(K223=0,N223=0,S223=0),"SIN MOVIMIENTO",IF(ABS(T223)&lt;='Metas y Control'!$B$6,"OK","REVISAR CAJA")))</f>
        <v>SIN MOVIMIENTO</v>
      </c>
    </row>
    <row r="224" spans="1:22" x14ac:dyDescent="0.3">
      <c r="A224" s="25">
        <f>IF(YEAR(A223+1)=Dashboard!$B$2,A223+1,"")</f>
        <v>46242</v>
      </c>
      <c r="B224" s="26" t="str">
        <f t="shared" si="15"/>
        <v>agosto</v>
      </c>
      <c r="C224" s="24"/>
      <c r="D224" s="24"/>
      <c r="E224" s="24"/>
      <c r="F224" s="24"/>
      <c r="G224" s="24"/>
      <c r="H224" s="24"/>
      <c r="I224" s="24"/>
      <c r="J224" s="24"/>
      <c r="K224" s="27">
        <f t="shared" si="16"/>
        <v>0</v>
      </c>
      <c r="L224" s="28">
        <f>IF(A224="","",C224*'Menu Productos'!$F$5+D224*'Menu Productos'!$F$6+E224*'Menu Productos'!$F$7+F224*'Menu Productos'!$F$8+G224*'Menu Productos'!$F$9+H224*'Menu Productos'!$F$10+I224*'Menu Productos'!$F$11+J224*'Menu Productos'!$F$12)</f>
        <v>0</v>
      </c>
      <c r="M224" s="28">
        <f>IF(A224="","",C224*'Menu Productos'!$E$5+D224*'Menu Productos'!$E$6+E224*'Menu Productos'!$E$7+F224*'Menu Productos'!$E$8+G224*'Menu Productos'!$E$9+H224*'Menu Productos'!$E$10+I224*'Menu Productos'!$E$11+J224*'Menu Productos'!$E$12)</f>
        <v>0</v>
      </c>
      <c r="N224" s="29"/>
      <c r="O224" s="28">
        <f t="shared" si="17"/>
        <v>0</v>
      </c>
      <c r="P224" s="29"/>
      <c r="Q224" s="29"/>
      <c r="R224" s="29"/>
      <c r="S224" s="28">
        <f t="shared" si="18"/>
        <v>0</v>
      </c>
      <c r="T224" s="28">
        <f t="shared" si="19"/>
        <v>0</v>
      </c>
      <c r="U224" s="12"/>
      <c r="V224" s="12" t="str">
        <f ca="1">IF(A224&gt;TODAY(),"FUTURO",IF(AND(K224=0,N224=0,S224=0),"SIN MOVIMIENTO",IF(ABS(T224)&lt;='Metas y Control'!$B$6,"OK","REVISAR CAJA")))</f>
        <v>SIN MOVIMIENTO</v>
      </c>
    </row>
    <row r="225" spans="1:22" x14ac:dyDescent="0.3">
      <c r="A225" s="25">
        <f>IF(YEAR(A224+1)=Dashboard!$B$2,A224+1,"")</f>
        <v>46243</v>
      </c>
      <c r="B225" s="26" t="str">
        <f t="shared" si="15"/>
        <v>agosto</v>
      </c>
      <c r="C225" s="24"/>
      <c r="D225" s="24"/>
      <c r="E225" s="24"/>
      <c r="F225" s="24"/>
      <c r="G225" s="24"/>
      <c r="H225" s="24"/>
      <c r="I225" s="24"/>
      <c r="J225" s="24"/>
      <c r="K225" s="27">
        <f t="shared" si="16"/>
        <v>0</v>
      </c>
      <c r="L225" s="28">
        <f>IF(A225="","",C225*'Menu Productos'!$F$5+D225*'Menu Productos'!$F$6+E225*'Menu Productos'!$F$7+F225*'Menu Productos'!$F$8+G225*'Menu Productos'!$F$9+H225*'Menu Productos'!$F$10+I225*'Menu Productos'!$F$11+J225*'Menu Productos'!$F$12)</f>
        <v>0</v>
      </c>
      <c r="M225" s="28">
        <f>IF(A225="","",C225*'Menu Productos'!$E$5+D225*'Menu Productos'!$E$6+E225*'Menu Productos'!$E$7+F225*'Menu Productos'!$E$8+G225*'Menu Productos'!$E$9+H225*'Menu Productos'!$E$10+I225*'Menu Productos'!$E$11+J225*'Menu Productos'!$E$12)</f>
        <v>0</v>
      </c>
      <c r="N225" s="29"/>
      <c r="O225" s="28">
        <f t="shared" si="17"/>
        <v>0</v>
      </c>
      <c r="P225" s="29"/>
      <c r="Q225" s="29"/>
      <c r="R225" s="29"/>
      <c r="S225" s="28">
        <f t="shared" si="18"/>
        <v>0</v>
      </c>
      <c r="T225" s="28">
        <f t="shared" si="19"/>
        <v>0</v>
      </c>
      <c r="U225" s="12"/>
      <c r="V225" s="12" t="str">
        <f ca="1">IF(A225&gt;TODAY(),"FUTURO",IF(AND(K225=0,N225=0,S225=0),"SIN MOVIMIENTO",IF(ABS(T225)&lt;='Metas y Control'!$B$6,"OK","REVISAR CAJA")))</f>
        <v>SIN MOVIMIENTO</v>
      </c>
    </row>
    <row r="226" spans="1:22" x14ac:dyDescent="0.3">
      <c r="A226" s="25">
        <f>IF(YEAR(A225+1)=Dashboard!$B$2,A225+1,"")</f>
        <v>46244</v>
      </c>
      <c r="B226" s="26" t="str">
        <f t="shared" si="15"/>
        <v>agosto</v>
      </c>
      <c r="C226" s="24"/>
      <c r="D226" s="24"/>
      <c r="E226" s="24"/>
      <c r="F226" s="24"/>
      <c r="G226" s="24"/>
      <c r="H226" s="24"/>
      <c r="I226" s="24"/>
      <c r="J226" s="24"/>
      <c r="K226" s="27">
        <f t="shared" si="16"/>
        <v>0</v>
      </c>
      <c r="L226" s="28">
        <f>IF(A226="","",C226*'Menu Productos'!$F$5+D226*'Menu Productos'!$F$6+E226*'Menu Productos'!$F$7+F226*'Menu Productos'!$F$8+G226*'Menu Productos'!$F$9+H226*'Menu Productos'!$F$10+I226*'Menu Productos'!$F$11+J226*'Menu Productos'!$F$12)</f>
        <v>0</v>
      </c>
      <c r="M226" s="28">
        <f>IF(A226="","",C226*'Menu Productos'!$E$5+D226*'Menu Productos'!$E$6+E226*'Menu Productos'!$E$7+F226*'Menu Productos'!$E$8+G226*'Menu Productos'!$E$9+H226*'Menu Productos'!$E$10+I226*'Menu Productos'!$E$11+J226*'Menu Productos'!$E$12)</f>
        <v>0</v>
      </c>
      <c r="N226" s="29"/>
      <c r="O226" s="28">
        <f t="shared" si="17"/>
        <v>0</v>
      </c>
      <c r="P226" s="29"/>
      <c r="Q226" s="29"/>
      <c r="R226" s="29"/>
      <c r="S226" s="28">
        <f t="shared" si="18"/>
        <v>0</v>
      </c>
      <c r="T226" s="28">
        <f t="shared" si="19"/>
        <v>0</v>
      </c>
      <c r="U226" s="12"/>
      <c r="V226" s="12" t="str">
        <f ca="1">IF(A226&gt;TODAY(),"FUTURO",IF(AND(K226=0,N226=0,S226=0),"SIN MOVIMIENTO",IF(ABS(T226)&lt;='Metas y Control'!$B$6,"OK","REVISAR CAJA")))</f>
        <v>SIN MOVIMIENTO</v>
      </c>
    </row>
    <row r="227" spans="1:22" x14ac:dyDescent="0.3">
      <c r="A227" s="25">
        <f>IF(YEAR(A226+1)=Dashboard!$B$2,A226+1,"")</f>
        <v>46245</v>
      </c>
      <c r="B227" s="26" t="str">
        <f t="shared" si="15"/>
        <v>agosto</v>
      </c>
      <c r="C227" s="24"/>
      <c r="D227" s="24"/>
      <c r="E227" s="24"/>
      <c r="F227" s="24"/>
      <c r="G227" s="24"/>
      <c r="H227" s="24"/>
      <c r="I227" s="24"/>
      <c r="J227" s="24"/>
      <c r="K227" s="27">
        <f t="shared" si="16"/>
        <v>0</v>
      </c>
      <c r="L227" s="28">
        <f>IF(A227="","",C227*'Menu Productos'!$F$5+D227*'Menu Productos'!$F$6+E227*'Menu Productos'!$F$7+F227*'Menu Productos'!$F$8+G227*'Menu Productos'!$F$9+H227*'Menu Productos'!$F$10+I227*'Menu Productos'!$F$11+J227*'Menu Productos'!$F$12)</f>
        <v>0</v>
      </c>
      <c r="M227" s="28">
        <f>IF(A227="","",C227*'Menu Productos'!$E$5+D227*'Menu Productos'!$E$6+E227*'Menu Productos'!$E$7+F227*'Menu Productos'!$E$8+G227*'Menu Productos'!$E$9+H227*'Menu Productos'!$E$10+I227*'Menu Productos'!$E$11+J227*'Menu Productos'!$E$12)</f>
        <v>0</v>
      </c>
      <c r="N227" s="29"/>
      <c r="O227" s="28">
        <f t="shared" si="17"/>
        <v>0</v>
      </c>
      <c r="P227" s="29"/>
      <c r="Q227" s="29"/>
      <c r="R227" s="29"/>
      <c r="S227" s="28">
        <f t="shared" si="18"/>
        <v>0</v>
      </c>
      <c r="T227" s="28">
        <f t="shared" si="19"/>
        <v>0</v>
      </c>
      <c r="U227" s="12"/>
      <c r="V227" s="12" t="str">
        <f ca="1">IF(A227&gt;TODAY(),"FUTURO",IF(AND(K227=0,N227=0,S227=0),"SIN MOVIMIENTO",IF(ABS(T227)&lt;='Metas y Control'!$B$6,"OK","REVISAR CAJA")))</f>
        <v>SIN MOVIMIENTO</v>
      </c>
    </row>
    <row r="228" spans="1:22" x14ac:dyDescent="0.3">
      <c r="A228" s="25">
        <f>IF(YEAR(A227+1)=Dashboard!$B$2,A227+1,"")</f>
        <v>46246</v>
      </c>
      <c r="B228" s="26" t="str">
        <f t="shared" si="15"/>
        <v>agosto</v>
      </c>
      <c r="C228" s="24"/>
      <c r="D228" s="24"/>
      <c r="E228" s="24"/>
      <c r="F228" s="24"/>
      <c r="G228" s="24"/>
      <c r="H228" s="24"/>
      <c r="I228" s="24"/>
      <c r="J228" s="24"/>
      <c r="K228" s="27">
        <f t="shared" si="16"/>
        <v>0</v>
      </c>
      <c r="L228" s="28">
        <f>IF(A228="","",C228*'Menu Productos'!$F$5+D228*'Menu Productos'!$F$6+E228*'Menu Productos'!$F$7+F228*'Menu Productos'!$F$8+G228*'Menu Productos'!$F$9+H228*'Menu Productos'!$F$10+I228*'Menu Productos'!$F$11+J228*'Menu Productos'!$F$12)</f>
        <v>0</v>
      </c>
      <c r="M228" s="28">
        <f>IF(A228="","",C228*'Menu Productos'!$E$5+D228*'Menu Productos'!$E$6+E228*'Menu Productos'!$E$7+F228*'Menu Productos'!$E$8+G228*'Menu Productos'!$E$9+H228*'Menu Productos'!$E$10+I228*'Menu Productos'!$E$11+J228*'Menu Productos'!$E$12)</f>
        <v>0</v>
      </c>
      <c r="N228" s="29"/>
      <c r="O228" s="28">
        <f t="shared" si="17"/>
        <v>0</v>
      </c>
      <c r="P228" s="29"/>
      <c r="Q228" s="29"/>
      <c r="R228" s="29"/>
      <c r="S228" s="28">
        <f t="shared" si="18"/>
        <v>0</v>
      </c>
      <c r="T228" s="28">
        <f t="shared" si="19"/>
        <v>0</v>
      </c>
      <c r="U228" s="12"/>
      <c r="V228" s="12" t="str">
        <f ca="1">IF(A228&gt;TODAY(),"FUTURO",IF(AND(K228=0,N228=0,S228=0),"SIN MOVIMIENTO",IF(ABS(T228)&lt;='Metas y Control'!$B$6,"OK","REVISAR CAJA")))</f>
        <v>SIN MOVIMIENTO</v>
      </c>
    </row>
    <row r="229" spans="1:22" x14ac:dyDescent="0.3">
      <c r="A229" s="25">
        <f>IF(YEAR(A228+1)=Dashboard!$B$2,A228+1,"")</f>
        <v>46247</v>
      </c>
      <c r="B229" s="26" t="str">
        <f t="shared" si="15"/>
        <v>agosto</v>
      </c>
      <c r="C229" s="24"/>
      <c r="D229" s="24"/>
      <c r="E229" s="24"/>
      <c r="F229" s="24"/>
      <c r="G229" s="24"/>
      <c r="H229" s="24"/>
      <c r="I229" s="24"/>
      <c r="J229" s="24"/>
      <c r="K229" s="27">
        <f t="shared" si="16"/>
        <v>0</v>
      </c>
      <c r="L229" s="28">
        <f>IF(A229="","",C229*'Menu Productos'!$F$5+D229*'Menu Productos'!$F$6+E229*'Menu Productos'!$F$7+F229*'Menu Productos'!$F$8+G229*'Menu Productos'!$F$9+H229*'Menu Productos'!$F$10+I229*'Menu Productos'!$F$11+J229*'Menu Productos'!$F$12)</f>
        <v>0</v>
      </c>
      <c r="M229" s="28">
        <f>IF(A229="","",C229*'Menu Productos'!$E$5+D229*'Menu Productos'!$E$6+E229*'Menu Productos'!$E$7+F229*'Menu Productos'!$E$8+G229*'Menu Productos'!$E$9+H229*'Menu Productos'!$E$10+I229*'Menu Productos'!$E$11+J229*'Menu Productos'!$E$12)</f>
        <v>0</v>
      </c>
      <c r="N229" s="29"/>
      <c r="O229" s="28">
        <f t="shared" si="17"/>
        <v>0</v>
      </c>
      <c r="P229" s="29"/>
      <c r="Q229" s="29"/>
      <c r="R229" s="29"/>
      <c r="S229" s="28">
        <f t="shared" si="18"/>
        <v>0</v>
      </c>
      <c r="T229" s="28">
        <f t="shared" si="19"/>
        <v>0</v>
      </c>
      <c r="U229" s="12"/>
      <c r="V229" s="12" t="str">
        <f ca="1">IF(A229&gt;TODAY(),"FUTURO",IF(AND(K229=0,N229=0,S229=0),"SIN MOVIMIENTO",IF(ABS(T229)&lt;='Metas y Control'!$B$6,"OK","REVISAR CAJA")))</f>
        <v>SIN MOVIMIENTO</v>
      </c>
    </row>
    <row r="230" spans="1:22" x14ac:dyDescent="0.3">
      <c r="A230" s="25">
        <f>IF(YEAR(A229+1)=Dashboard!$B$2,A229+1,"")</f>
        <v>46248</v>
      </c>
      <c r="B230" s="26" t="str">
        <f t="shared" si="15"/>
        <v>agosto</v>
      </c>
      <c r="C230" s="24"/>
      <c r="D230" s="24"/>
      <c r="E230" s="24"/>
      <c r="F230" s="24"/>
      <c r="G230" s="24"/>
      <c r="H230" s="24"/>
      <c r="I230" s="24"/>
      <c r="J230" s="24"/>
      <c r="K230" s="27">
        <f t="shared" si="16"/>
        <v>0</v>
      </c>
      <c r="L230" s="28">
        <f>IF(A230="","",C230*'Menu Productos'!$F$5+D230*'Menu Productos'!$F$6+E230*'Menu Productos'!$F$7+F230*'Menu Productos'!$F$8+G230*'Menu Productos'!$F$9+H230*'Menu Productos'!$F$10+I230*'Menu Productos'!$F$11+J230*'Menu Productos'!$F$12)</f>
        <v>0</v>
      </c>
      <c r="M230" s="28">
        <f>IF(A230="","",C230*'Menu Productos'!$E$5+D230*'Menu Productos'!$E$6+E230*'Menu Productos'!$E$7+F230*'Menu Productos'!$E$8+G230*'Menu Productos'!$E$9+H230*'Menu Productos'!$E$10+I230*'Menu Productos'!$E$11+J230*'Menu Productos'!$E$12)</f>
        <v>0</v>
      </c>
      <c r="N230" s="29"/>
      <c r="O230" s="28">
        <f t="shared" si="17"/>
        <v>0</v>
      </c>
      <c r="P230" s="29"/>
      <c r="Q230" s="29"/>
      <c r="R230" s="29"/>
      <c r="S230" s="28">
        <f t="shared" si="18"/>
        <v>0</v>
      </c>
      <c r="T230" s="28">
        <f t="shared" si="19"/>
        <v>0</v>
      </c>
      <c r="U230" s="12"/>
      <c r="V230" s="12" t="str">
        <f ca="1">IF(A230&gt;TODAY(),"FUTURO",IF(AND(K230=0,N230=0,S230=0),"SIN MOVIMIENTO",IF(ABS(T230)&lt;='Metas y Control'!$B$6,"OK","REVISAR CAJA")))</f>
        <v>SIN MOVIMIENTO</v>
      </c>
    </row>
    <row r="231" spans="1:22" x14ac:dyDescent="0.3">
      <c r="A231" s="25">
        <f>IF(YEAR(A230+1)=Dashboard!$B$2,A230+1,"")</f>
        <v>46249</v>
      </c>
      <c r="B231" s="26" t="str">
        <f t="shared" si="15"/>
        <v>agosto</v>
      </c>
      <c r="C231" s="24"/>
      <c r="D231" s="24"/>
      <c r="E231" s="24"/>
      <c r="F231" s="24"/>
      <c r="G231" s="24"/>
      <c r="H231" s="24"/>
      <c r="I231" s="24"/>
      <c r="J231" s="24"/>
      <c r="K231" s="27">
        <f t="shared" si="16"/>
        <v>0</v>
      </c>
      <c r="L231" s="28">
        <f>IF(A231="","",C231*'Menu Productos'!$F$5+D231*'Menu Productos'!$F$6+E231*'Menu Productos'!$F$7+F231*'Menu Productos'!$F$8+G231*'Menu Productos'!$F$9+H231*'Menu Productos'!$F$10+I231*'Menu Productos'!$F$11+J231*'Menu Productos'!$F$12)</f>
        <v>0</v>
      </c>
      <c r="M231" s="28">
        <f>IF(A231="","",C231*'Menu Productos'!$E$5+D231*'Menu Productos'!$E$6+E231*'Menu Productos'!$E$7+F231*'Menu Productos'!$E$8+G231*'Menu Productos'!$E$9+H231*'Menu Productos'!$E$10+I231*'Menu Productos'!$E$11+J231*'Menu Productos'!$E$12)</f>
        <v>0</v>
      </c>
      <c r="N231" s="29"/>
      <c r="O231" s="28">
        <f t="shared" si="17"/>
        <v>0</v>
      </c>
      <c r="P231" s="29"/>
      <c r="Q231" s="29"/>
      <c r="R231" s="29"/>
      <c r="S231" s="28">
        <f t="shared" si="18"/>
        <v>0</v>
      </c>
      <c r="T231" s="28">
        <f t="shared" si="19"/>
        <v>0</v>
      </c>
      <c r="U231" s="12"/>
      <c r="V231" s="12" t="str">
        <f ca="1">IF(A231&gt;TODAY(),"FUTURO",IF(AND(K231=0,N231=0,S231=0),"SIN MOVIMIENTO",IF(ABS(T231)&lt;='Metas y Control'!$B$6,"OK","REVISAR CAJA")))</f>
        <v>SIN MOVIMIENTO</v>
      </c>
    </row>
    <row r="232" spans="1:22" x14ac:dyDescent="0.3">
      <c r="A232" s="25">
        <f>IF(YEAR(A231+1)=Dashboard!$B$2,A231+1,"")</f>
        <v>46250</v>
      </c>
      <c r="B232" s="26" t="str">
        <f t="shared" si="15"/>
        <v>agosto</v>
      </c>
      <c r="C232" s="24"/>
      <c r="D232" s="24"/>
      <c r="E232" s="24"/>
      <c r="F232" s="24"/>
      <c r="G232" s="24"/>
      <c r="H232" s="24"/>
      <c r="I232" s="24"/>
      <c r="J232" s="24"/>
      <c r="K232" s="27">
        <f t="shared" si="16"/>
        <v>0</v>
      </c>
      <c r="L232" s="28">
        <f>IF(A232="","",C232*'Menu Productos'!$F$5+D232*'Menu Productos'!$F$6+E232*'Menu Productos'!$F$7+F232*'Menu Productos'!$F$8+G232*'Menu Productos'!$F$9+H232*'Menu Productos'!$F$10+I232*'Menu Productos'!$F$11+J232*'Menu Productos'!$F$12)</f>
        <v>0</v>
      </c>
      <c r="M232" s="28">
        <f>IF(A232="","",C232*'Menu Productos'!$E$5+D232*'Menu Productos'!$E$6+E232*'Menu Productos'!$E$7+F232*'Menu Productos'!$E$8+G232*'Menu Productos'!$E$9+H232*'Menu Productos'!$E$10+I232*'Menu Productos'!$E$11+J232*'Menu Productos'!$E$12)</f>
        <v>0</v>
      </c>
      <c r="N232" s="29"/>
      <c r="O232" s="28">
        <f t="shared" si="17"/>
        <v>0</v>
      </c>
      <c r="P232" s="29"/>
      <c r="Q232" s="29"/>
      <c r="R232" s="29"/>
      <c r="S232" s="28">
        <f t="shared" si="18"/>
        <v>0</v>
      </c>
      <c r="T232" s="28">
        <f t="shared" si="19"/>
        <v>0</v>
      </c>
      <c r="U232" s="12"/>
      <c r="V232" s="12" t="str">
        <f ca="1">IF(A232&gt;TODAY(),"FUTURO",IF(AND(K232=0,N232=0,S232=0),"SIN MOVIMIENTO",IF(ABS(T232)&lt;='Metas y Control'!$B$6,"OK","REVISAR CAJA")))</f>
        <v>SIN MOVIMIENTO</v>
      </c>
    </row>
    <row r="233" spans="1:22" x14ac:dyDescent="0.3">
      <c r="A233" s="25">
        <f>IF(YEAR(A232+1)=Dashboard!$B$2,A232+1,"")</f>
        <v>46251</v>
      </c>
      <c r="B233" s="26" t="str">
        <f t="shared" si="15"/>
        <v>agosto</v>
      </c>
      <c r="C233" s="24"/>
      <c r="D233" s="24"/>
      <c r="E233" s="24"/>
      <c r="F233" s="24"/>
      <c r="G233" s="24"/>
      <c r="H233" s="24"/>
      <c r="I233" s="24"/>
      <c r="J233" s="24"/>
      <c r="K233" s="27">
        <f t="shared" si="16"/>
        <v>0</v>
      </c>
      <c r="L233" s="28">
        <f>IF(A233="","",C233*'Menu Productos'!$F$5+D233*'Menu Productos'!$F$6+E233*'Menu Productos'!$F$7+F233*'Menu Productos'!$F$8+G233*'Menu Productos'!$F$9+H233*'Menu Productos'!$F$10+I233*'Menu Productos'!$F$11+J233*'Menu Productos'!$F$12)</f>
        <v>0</v>
      </c>
      <c r="M233" s="28">
        <f>IF(A233="","",C233*'Menu Productos'!$E$5+D233*'Menu Productos'!$E$6+E233*'Menu Productos'!$E$7+F233*'Menu Productos'!$E$8+G233*'Menu Productos'!$E$9+H233*'Menu Productos'!$E$10+I233*'Menu Productos'!$E$11+J233*'Menu Productos'!$E$12)</f>
        <v>0</v>
      </c>
      <c r="N233" s="29"/>
      <c r="O233" s="28">
        <f t="shared" si="17"/>
        <v>0</v>
      </c>
      <c r="P233" s="29"/>
      <c r="Q233" s="29"/>
      <c r="R233" s="29"/>
      <c r="S233" s="28">
        <f t="shared" si="18"/>
        <v>0</v>
      </c>
      <c r="T233" s="28">
        <f t="shared" si="19"/>
        <v>0</v>
      </c>
      <c r="U233" s="12"/>
      <c r="V233" s="12" t="str">
        <f ca="1">IF(A233&gt;TODAY(),"FUTURO",IF(AND(K233=0,N233=0,S233=0),"SIN MOVIMIENTO",IF(ABS(T233)&lt;='Metas y Control'!$B$6,"OK","REVISAR CAJA")))</f>
        <v>SIN MOVIMIENTO</v>
      </c>
    </row>
    <row r="234" spans="1:22" x14ac:dyDescent="0.3">
      <c r="A234" s="25">
        <f>IF(YEAR(A233+1)=Dashboard!$B$2,A233+1,"")</f>
        <v>46252</v>
      </c>
      <c r="B234" s="26" t="str">
        <f t="shared" si="15"/>
        <v>agosto</v>
      </c>
      <c r="C234" s="24"/>
      <c r="D234" s="24"/>
      <c r="E234" s="24"/>
      <c r="F234" s="24"/>
      <c r="G234" s="24"/>
      <c r="H234" s="24"/>
      <c r="I234" s="24"/>
      <c r="J234" s="24"/>
      <c r="K234" s="27">
        <f t="shared" si="16"/>
        <v>0</v>
      </c>
      <c r="L234" s="28">
        <f>IF(A234="","",C234*'Menu Productos'!$F$5+D234*'Menu Productos'!$F$6+E234*'Menu Productos'!$F$7+F234*'Menu Productos'!$F$8+G234*'Menu Productos'!$F$9+H234*'Menu Productos'!$F$10+I234*'Menu Productos'!$F$11+J234*'Menu Productos'!$F$12)</f>
        <v>0</v>
      </c>
      <c r="M234" s="28">
        <f>IF(A234="","",C234*'Menu Productos'!$E$5+D234*'Menu Productos'!$E$6+E234*'Menu Productos'!$E$7+F234*'Menu Productos'!$E$8+G234*'Menu Productos'!$E$9+H234*'Menu Productos'!$E$10+I234*'Menu Productos'!$E$11+J234*'Menu Productos'!$E$12)</f>
        <v>0</v>
      </c>
      <c r="N234" s="29"/>
      <c r="O234" s="28">
        <f t="shared" si="17"/>
        <v>0</v>
      </c>
      <c r="P234" s="29"/>
      <c r="Q234" s="29"/>
      <c r="R234" s="29"/>
      <c r="S234" s="28">
        <f t="shared" si="18"/>
        <v>0</v>
      </c>
      <c r="T234" s="28">
        <f t="shared" si="19"/>
        <v>0</v>
      </c>
      <c r="U234" s="12"/>
      <c r="V234" s="12" t="str">
        <f ca="1">IF(A234&gt;TODAY(),"FUTURO",IF(AND(K234=0,N234=0,S234=0),"SIN MOVIMIENTO",IF(ABS(T234)&lt;='Metas y Control'!$B$6,"OK","REVISAR CAJA")))</f>
        <v>SIN MOVIMIENTO</v>
      </c>
    </row>
    <row r="235" spans="1:22" x14ac:dyDescent="0.3">
      <c r="A235" s="25">
        <f>IF(YEAR(A234+1)=Dashboard!$B$2,A234+1,"")</f>
        <v>46253</v>
      </c>
      <c r="B235" s="26" t="str">
        <f t="shared" si="15"/>
        <v>agosto</v>
      </c>
      <c r="C235" s="24"/>
      <c r="D235" s="24"/>
      <c r="E235" s="24"/>
      <c r="F235" s="24"/>
      <c r="G235" s="24"/>
      <c r="H235" s="24"/>
      <c r="I235" s="24"/>
      <c r="J235" s="24"/>
      <c r="K235" s="27">
        <f t="shared" si="16"/>
        <v>0</v>
      </c>
      <c r="L235" s="28">
        <f>IF(A235="","",C235*'Menu Productos'!$F$5+D235*'Menu Productos'!$F$6+E235*'Menu Productos'!$F$7+F235*'Menu Productos'!$F$8+G235*'Menu Productos'!$F$9+H235*'Menu Productos'!$F$10+I235*'Menu Productos'!$F$11+J235*'Menu Productos'!$F$12)</f>
        <v>0</v>
      </c>
      <c r="M235" s="28">
        <f>IF(A235="","",C235*'Menu Productos'!$E$5+D235*'Menu Productos'!$E$6+E235*'Menu Productos'!$E$7+F235*'Menu Productos'!$E$8+G235*'Menu Productos'!$E$9+H235*'Menu Productos'!$E$10+I235*'Menu Productos'!$E$11+J235*'Menu Productos'!$E$12)</f>
        <v>0</v>
      </c>
      <c r="N235" s="29"/>
      <c r="O235" s="28">
        <f t="shared" si="17"/>
        <v>0</v>
      </c>
      <c r="P235" s="29"/>
      <c r="Q235" s="29"/>
      <c r="R235" s="29"/>
      <c r="S235" s="28">
        <f t="shared" si="18"/>
        <v>0</v>
      </c>
      <c r="T235" s="28">
        <f t="shared" si="19"/>
        <v>0</v>
      </c>
      <c r="U235" s="12"/>
      <c r="V235" s="12" t="str">
        <f ca="1">IF(A235&gt;TODAY(),"FUTURO",IF(AND(K235=0,N235=0,S235=0),"SIN MOVIMIENTO",IF(ABS(T235)&lt;='Metas y Control'!$B$6,"OK","REVISAR CAJA")))</f>
        <v>SIN MOVIMIENTO</v>
      </c>
    </row>
    <row r="236" spans="1:22" x14ac:dyDescent="0.3">
      <c r="A236" s="25">
        <f>IF(YEAR(A235+1)=Dashboard!$B$2,A235+1,"")</f>
        <v>46254</v>
      </c>
      <c r="B236" s="26" t="str">
        <f t="shared" si="15"/>
        <v>agosto</v>
      </c>
      <c r="C236" s="24"/>
      <c r="D236" s="24"/>
      <c r="E236" s="24"/>
      <c r="F236" s="24"/>
      <c r="G236" s="24"/>
      <c r="H236" s="24"/>
      <c r="I236" s="24"/>
      <c r="J236" s="24"/>
      <c r="K236" s="27">
        <f t="shared" si="16"/>
        <v>0</v>
      </c>
      <c r="L236" s="28">
        <f>IF(A236="","",C236*'Menu Productos'!$F$5+D236*'Menu Productos'!$F$6+E236*'Menu Productos'!$F$7+F236*'Menu Productos'!$F$8+G236*'Menu Productos'!$F$9+H236*'Menu Productos'!$F$10+I236*'Menu Productos'!$F$11+J236*'Menu Productos'!$F$12)</f>
        <v>0</v>
      </c>
      <c r="M236" s="28">
        <f>IF(A236="","",C236*'Menu Productos'!$E$5+D236*'Menu Productos'!$E$6+E236*'Menu Productos'!$E$7+F236*'Menu Productos'!$E$8+G236*'Menu Productos'!$E$9+H236*'Menu Productos'!$E$10+I236*'Menu Productos'!$E$11+J236*'Menu Productos'!$E$12)</f>
        <v>0</v>
      </c>
      <c r="N236" s="29"/>
      <c r="O236" s="28">
        <f t="shared" si="17"/>
        <v>0</v>
      </c>
      <c r="P236" s="29"/>
      <c r="Q236" s="29"/>
      <c r="R236" s="29"/>
      <c r="S236" s="28">
        <f t="shared" si="18"/>
        <v>0</v>
      </c>
      <c r="T236" s="28">
        <f t="shared" si="19"/>
        <v>0</v>
      </c>
      <c r="U236" s="12"/>
      <c r="V236" s="12" t="str">
        <f ca="1">IF(A236&gt;TODAY(),"FUTURO",IF(AND(K236=0,N236=0,S236=0),"SIN MOVIMIENTO",IF(ABS(T236)&lt;='Metas y Control'!$B$6,"OK","REVISAR CAJA")))</f>
        <v>SIN MOVIMIENTO</v>
      </c>
    </row>
    <row r="237" spans="1:22" x14ac:dyDescent="0.3">
      <c r="A237" s="25">
        <f>IF(YEAR(A236+1)=Dashboard!$B$2,A236+1,"")</f>
        <v>46255</v>
      </c>
      <c r="B237" s="26" t="str">
        <f t="shared" si="15"/>
        <v>agosto</v>
      </c>
      <c r="C237" s="24"/>
      <c r="D237" s="24"/>
      <c r="E237" s="24"/>
      <c r="F237" s="24"/>
      <c r="G237" s="24"/>
      <c r="H237" s="24"/>
      <c r="I237" s="24"/>
      <c r="J237" s="24"/>
      <c r="K237" s="27">
        <f t="shared" si="16"/>
        <v>0</v>
      </c>
      <c r="L237" s="28">
        <f>IF(A237="","",C237*'Menu Productos'!$F$5+D237*'Menu Productos'!$F$6+E237*'Menu Productos'!$F$7+F237*'Menu Productos'!$F$8+G237*'Menu Productos'!$F$9+H237*'Menu Productos'!$F$10+I237*'Menu Productos'!$F$11+J237*'Menu Productos'!$F$12)</f>
        <v>0</v>
      </c>
      <c r="M237" s="28">
        <f>IF(A237="","",C237*'Menu Productos'!$E$5+D237*'Menu Productos'!$E$6+E237*'Menu Productos'!$E$7+F237*'Menu Productos'!$E$8+G237*'Menu Productos'!$E$9+H237*'Menu Productos'!$E$10+I237*'Menu Productos'!$E$11+J237*'Menu Productos'!$E$12)</f>
        <v>0</v>
      </c>
      <c r="N237" s="29"/>
      <c r="O237" s="28">
        <f t="shared" si="17"/>
        <v>0</v>
      </c>
      <c r="P237" s="29"/>
      <c r="Q237" s="29"/>
      <c r="R237" s="29"/>
      <c r="S237" s="28">
        <f t="shared" si="18"/>
        <v>0</v>
      </c>
      <c r="T237" s="28">
        <f t="shared" si="19"/>
        <v>0</v>
      </c>
      <c r="U237" s="12"/>
      <c r="V237" s="12" t="str">
        <f ca="1">IF(A237&gt;TODAY(),"FUTURO",IF(AND(K237=0,N237=0,S237=0),"SIN MOVIMIENTO",IF(ABS(T237)&lt;='Metas y Control'!$B$6,"OK","REVISAR CAJA")))</f>
        <v>SIN MOVIMIENTO</v>
      </c>
    </row>
    <row r="238" spans="1:22" x14ac:dyDescent="0.3">
      <c r="A238" s="25">
        <f>IF(YEAR(A237+1)=Dashboard!$B$2,A237+1,"")</f>
        <v>46256</v>
      </c>
      <c r="B238" s="26" t="str">
        <f t="shared" si="15"/>
        <v>agosto</v>
      </c>
      <c r="C238" s="24"/>
      <c r="D238" s="24"/>
      <c r="E238" s="24"/>
      <c r="F238" s="24"/>
      <c r="G238" s="24"/>
      <c r="H238" s="24"/>
      <c r="I238" s="24"/>
      <c r="J238" s="24"/>
      <c r="K238" s="27">
        <f t="shared" si="16"/>
        <v>0</v>
      </c>
      <c r="L238" s="28">
        <f>IF(A238="","",C238*'Menu Productos'!$F$5+D238*'Menu Productos'!$F$6+E238*'Menu Productos'!$F$7+F238*'Menu Productos'!$F$8+G238*'Menu Productos'!$F$9+H238*'Menu Productos'!$F$10+I238*'Menu Productos'!$F$11+J238*'Menu Productos'!$F$12)</f>
        <v>0</v>
      </c>
      <c r="M238" s="28">
        <f>IF(A238="","",C238*'Menu Productos'!$E$5+D238*'Menu Productos'!$E$6+E238*'Menu Productos'!$E$7+F238*'Menu Productos'!$E$8+G238*'Menu Productos'!$E$9+H238*'Menu Productos'!$E$10+I238*'Menu Productos'!$E$11+J238*'Menu Productos'!$E$12)</f>
        <v>0</v>
      </c>
      <c r="N238" s="29"/>
      <c r="O238" s="28">
        <f t="shared" si="17"/>
        <v>0</v>
      </c>
      <c r="P238" s="29"/>
      <c r="Q238" s="29"/>
      <c r="R238" s="29"/>
      <c r="S238" s="28">
        <f t="shared" si="18"/>
        <v>0</v>
      </c>
      <c r="T238" s="28">
        <f t="shared" si="19"/>
        <v>0</v>
      </c>
      <c r="U238" s="12"/>
      <c r="V238" s="12" t="str">
        <f ca="1">IF(A238&gt;TODAY(),"FUTURO",IF(AND(K238=0,N238=0,S238=0),"SIN MOVIMIENTO",IF(ABS(T238)&lt;='Metas y Control'!$B$6,"OK","REVISAR CAJA")))</f>
        <v>SIN MOVIMIENTO</v>
      </c>
    </row>
    <row r="239" spans="1:22" x14ac:dyDescent="0.3">
      <c r="A239" s="25">
        <f>IF(YEAR(A238+1)=Dashboard!$B$2,A238+1,"")</f>
        <v>46257</v>
      </c>
      <c r="B239" s="26" t="str">
        <f t="shared" si="15"/>
        <v>agosto</v>
      </c>
      <c r="C239" s="24"/>
      <c r="D239" s="24"/>
      <c r="E239" s="24"/>
      <c r="F239" s="24"/>
      <c r="G239" s="24"/>
      <c r="H239" s="24"/>
      <c r="I239" s="24"/>
      <c r="J239" s="24"/>
      <c r="K239" s="27">
        <f t="shared" si="16"/>
        <v>0</v>
      </c>
      <c r="L239" s="28">
        <f>IF(A239="","",C239*'Menu Productos'!$F$5+D239*'Menu Productos'!$F$6+E239*'Menu Productos'!$F$7+F239*'Menu Productos'!$F$8+G239*'Menu Productos'!$F$9+H239*'Menu Productos'!$F$10+I239*'Menu Productos'!$F$11+J239*'Menu Productos'!$F$12)</f>
        <v>0</v>
      </c>
      <c r="M239" s="28">
        <f>IF(A239="","",C239*'Menu Productos'!$E$5+D239*'Menu Productos'!$E$6+E239*'Menu Productos'!$E$7+F239*'Menu Productos'!$E$8+G239*'Menu Productos'!$E$9+H239*'Menu Productos'!$E$10+I239*'Menu Productos'!$E$11+J239*'Menu Productos'!$E$12)</f>
        <v>0</v>
      </c>
      <c r="N239" s="29"/>
      <c r="O239" s="28">
        <f t="shared" si="17"/>
        <v>0</v>
      </c>
      <c r="P239" s="29"/>
      <c r="Q239" s="29"/>
      <c r="R239" s="29"/>
      <c r="S239" s="28">
        <f t="shared" si="18"/>
        <v>0</v>
      </c>
      <c r="T239" s="28">
        <f t="shared" si="19"/>
        <v>0</v>
      </c>
      <c r="U239" s="12"/>
      <c r="V239" s="12" t="str">
        <f ca="1">IF(A239&gt;TODAY(),"FUTURO",IF(AND(K239=0,N239=0,S239=0),"SIN MOVIMIENTO",IF(ABS(T239)&lt;='Metas y Control'!$B$6,"OK","REVISAR CAJA")))</f>
        <v>SIN MOVIMIENTO</v>
      </c>
    </row>
    <row r="240" spans="1:22" x14ac:dyDescent="0.3">
      <c r="A240" s="25">
        <f>IF(YEAR(A239+1)=Dashboard!$B$2,A239+1,"")</f>
        <v>46258</v>
      </c>
      <c r="B240" s="26" t="str">
        <f t="shared" si="15"/>
        <v>agosto</v>
      </c>
      <c r="C240" s="24"/>
      <c r="D240" s="24"/>
      <c r="E240" s="24"/>
      <c r="F240" s="24"/>
      <c r="G240" s="24"/>
      <c r="H240" s="24"/>
      <c r="I240" s="24"/>
      <c r="J240" s="24"/>
      <c r="K240" s="27">
        <f t="shared" si="16"/>
        <v>0</v>
      </c>
      <c r="L240" s="28">
        <f>IF(A240="","",C240*'Menu Productos'!$F$5+D240*'Menu Productos'!$F$6+E240*'Menu Productos'!$F$7+F240*'Menu Productos'!$F$8+G240*'Menu Productos'!$F$9+H240*'Menu Productos'!$F$10+I240*'Menu Productos'!$F$11+J240*'Menu Productos'!$F$12)</f>
        <v>0</v>
      </c>
      <c r="M240" s="28">
        <f>IF(A240="","",C240*'Menu Productos'!$E$5+D240*'Menu Productos'!$E$6+E240*'Menu Productos'!$E$7+F240*'Menu Productos'!$E$8+G240*'Menu Productos'!$E$9+H240*'Menu Productos'!$E$10+I240*'Menu Productos'!$E$11+J240*'Menu Productos'!$E$12)</f>
        <v>0</v>
      </c>
      <c r="N240" s="29"/>
      <c r="O240" s="28">
        <f t="shared" si="17"/>
        <v>0</v>
      </c>
      <c r="P240" s="29"/>
      <c r="Q240" s="29"/>
      <c r="R240" s="29"/>
      <c r="S240" s="28">
        <f t="shared" si="18"/>
        <v>0</v>
      </c>
      <c r="T240" s="28">
        <f t="shared" si="19"/>
        <v>0</v>
      </c>
      <c r="U240" s="12"/>
      <c r="V240" s="12" t="str">
        <f ca="1">IF(A240&gt;TODAY(),"FUTURO",IF(AND(K240=0,N240=0,S240=0),"SIN MOVIMIENTO",IF(ABS(T240)&lt;='Metas y Control'!$B$6,"OK","REVISAR CAJA")))</f>
        <v>SIN MOVIMIENTO</v>
      </c>
    </row>
    <row r="241" spans="1:22" x14ac:dyDescent="0.3">
      <c r="A241" s="25">
        <f>IF(YEAR(A240+1)=Dashboard!$B$2,A240+1,"")</f>
        <v>46259</v>
      </c>
      <c r="B241" s="26" t="str">
        <f t="shared" si="15"/>
        <v>agosto</v>
      </c>
      <c r="C241" s="24"/>
      <c r="D241" s="24"/>
      <c r="E241" s="24"/>
      <c r="F241" s="24"/>
      <c r="G241" s="24"/>
      <c r="H241" s="24"/>
      <c r="I241" s="24"/>
      <c r="J241" s="24"/>
      <c r="K241" s="27">
        <f t="shared" si="16"/>
        <v>0</v>
      </c>
      <c r="L241" s="28">
        <f>IF(A241="","",C241*'Menu Productos'!$F$5+D241*'Menu Productos'!$F$6+E241*'Menu Productos'!$F$7+F241*'Menu Productos'!$F$8+G241*'Menu Productos'!$F$9+H241*'Menu Productos'!$F$10+I241*'Menu Productos'!$F$11+J241*'Menu Productos'!$F$12)</f>
        <v>0</v>
      </c>
      <c r="M241" s="28">
        <f>IF(A241="","",C241*'Menu Productos'!$E$5+D241*'Menu Productos'!$E$6+E241*'Menu Productos'!$E$7+F241*'Menu Productos'!$E$8+G241*'Menu Productos'!$E$9+H241*'Menu Productos'!$E$10+I241*'Menu Productos'!$E$11+J241*'Menu Productos'!$E$12)</f>
        <v>0</v>
      </c>
      <c r="N241" s="29"/>
      <c r="O241" s="28">
        <f t="shared" si="17"/>
        <v>0</v>
      </c>
      <c r="P241" s="29"/>
      <c r="Q241" s="29"/>
      <c r="R241" s="29"/>
      <c r="S241" s="28">
        <f t="shared" si="18"/>
        <v>0</v>
      </c>
      <c r="T241" s="28">
        <f t="shared" si="19"/>
        <v>0</v>
      </c>
      <c r="U241" s="12"/>
      <c r="V241" s="12" t="str">
        <f ca="1">IF(A241&gt;TODAY(),"FUTURO",IF(AND(K241=0,N241=0,S241=0),"SIN MOVIMIENTO",IF(ABS(T241)&lt;='Metas y Control'!$B$6,"OK","REVISAR CAJA")))</f>
        <v>SIN MOVIMIENTO</v>
      </c>
    </row>
    <row r="242" spans="1:22" x14ac:dyDescent="0.3">
      <c r="A242" s="25">
        <f>IF(YEAR(A241+1)=Dashboard!$B$2,A241+1,"")</f>
        <v>46260</v>
      </c>
      <c r="B242" s="26" t="str">
        <f t="shared" si="15"/>
        <v>agosto</v>
      </c>
      <c r="C242" s="24"/>
      <c r="D242" s="24"/>
      <c r="E242" s="24"/>
      <c r="F242" s="24"/>
      <c r="G242" s="24"/>
      <c r="H242" s="24"/>
      <c r="I242" s="24"/>
      <c r="J242" s="24"/>
      <c r="K242" s="27">
        <f t="shared" si="16"/>
        <v>0</v>
      </c>
      <c r="L242" s="28">
        <f>IF(A242="","",C242*'Menu Productos'!$F$5+D242*'Menu Productos'!$F$6+E242*'Menu Productos'!$F$7+F242*'Menu Productos'!$F$8+G242*'Menu Productos'!$F$9+H242*'Menu Productos'!$F$10+I242*'Menu Productos'!$F$11+J242*'Menu Productos'!$F$12)</f>
        <v>0</v>
      </c>
      <c r="M242" s="28">
        <f>IF(A242="","",C242*'Menu Productos'!$E$5+D242*'Menu Productos'!$E$6+E242*'Menu Productos'!$E$7+F242*'Menu Productos'!$E$8+G242*'Menu Productos'!$E$9+H242*'Menu Productos'!$E$10+I242*'Menu Productos'!$E$11+J242*'Menu Productos'!$E$12)</f>
        <v>0</v>
      </c>
      <c r="N242" s="29"/>
      <c r="O242" s="28">
        <f t="shared" si="17"/>
        <v>0</v>
      </c>
      <c r="P242" s="29"/>
      <c r="Q242" s="29"/>
      <c r="R242" s="29"/>
      <c r="S242" s="28">
        <f t="shared" si="18"/>
        <v>0</v>
      </c>
      <c r="T242" s="28">
        <f t="shared" si="19"/>
        <v>0</v>
      </c>
      <c r="U242" s="12"/>
      <c r="V242" s="12" t="str">
        <f ca="1">IF(A242&gt;TODAY(),"FUTURO",IF(AND(K242=0,N242=0,S242=0),"SIN MOVIMIENTO",IF(ABS(T242)&lt;='Metas y Control'!$B$6,"OK","REVISAR CAJA")))</f>
        <v>SIN MOVIMIENTO</v>
      </c>
    </row>
    <row r="243" spans="1:22" x14ac:dyDescent="0.3">
      <c r="A243" s="25">
        <f>IF(YEAR(A242+1)=Dashboard!$B$2,A242+1,"")</f>
        <v>46261</v>
      </c>
      <c r="B243" s="26" t="str">
        <f t="shared" si="15"/>
        <v>agosto</v>
      </c>
      <c r="C243" s="24"/>
      <c r="D243" s="24"/>
      <c r="E243" s="24"/>
      <c r="F243" s="24"/>
      <c r="G243" s="24"/>
      <c r="H243" s="24"/>
      <c r="I243" s="24"/>
      <c r="J243" s="24"/>
      <c r="K243" s="27">
        <f t="shared" si="16"/>
        <v>0</v>
      </c>
      <c r="L243" s="28">
        <f>IF(A243="","",C243*'Menu Productos'!$F$5+D243*'Menu Productos'!$F$6+E243*'Menu Productos'!$F$7+F243*'Menu Productos'!$F$8+G243*'Menu Productos'!$F$9+H243*'Menu Productos'!$F$10+I243*'Menu Productos'!$F$11+J243*'Menu Productos'!$F$12)</f>
        <v>0</v>
      </c>
      <c r="M243" s="28">
        <f>IF(A243="","",C243*'Menu Productos'!$E$5+D243*'Menu Productos'!$E$6+E243*'Menu Productos'!$E$7+F243*'Menu Productos'!$E$8+G243*'Menu Productos'!$E$9+H243*'Menu Productos'!$E$10+I243*'Menu Productos'!$E$11+J243*'Menu Productos'!$E$12)</f>
        <v>0</v>
      </c>
      <c r="N243" s="29"/>
      <c r="O243" s="28">
        <f t="shared" si="17"/>
        <v>0</v>
      </c>
      <c r="P243" s="29"/>
      <c r="Q243" s="29"/>
      <c r="R243" s="29"/>
      <c r="S243" s="28">
        <f t="shared" si="18"/>
        <v>0</v>
      </c>
      <c r="T243" s="28">
        <f t="shared" si="19"/>
        <v>0</v>
      </c>
      <c r="U243" s="12"/>
      <c r="V243" s="12" t="str">
        <f ca="1">IF(A243&gt;TODAY(),"FUTURO",IF(AND(K243=0,N243=0,S243=0),"SIN MOVIMIENTO",IF(ABS(T243)&lt;='Metas y Control'!$B$6,"OK","REVISAR CAJA")))</f>
        <v>SIN MOVIMIENTO</v>
      </c>
    </row>
    <row r="244" spans="1:22" x14ac:dyDescent="0.3">
      <c r="A244" s="25">
        <f>IF(YEAR(A243+1)=Dashboard!$B$2,A243+1,"")</f>
        <v>46262</v>
      </c>
      <c r="B244" s="26" t="str">
        <f t="shared" si="15"/>
        <v>agosto</v>
      </c>
      <c r="C244" s="24"/>
      <c r="D244" s="24"/>
      <c r="E244" s="24"/>
      <c r="F244" s="24"/>
      <c r="G244" s="24"/>
      <c r="H244" s="24"/>
      <c r="I244" s="24"/>
      <c r="J244" s="24"/>
      <c r="K244" s="27">
        <f t="shared" si="16"/>
        <v>0</v>
      </c>
      <c r="L244" s="28">
        <f>IF(A244="","",C244*'Menu Productos'!$F$5+D244*'Menu Productos'!$F$6+E244*'Menu Productos'!$F$7+F244*'Menu Productos'!$F$8+G244*'Menu Productos'!$F$9+H244*'Menu Productos'!$F$10+I244*'Menu Productos'!$F$11+J244*'Menu Productos'!$F$12)</f>
        <v>0</v>
      </c>
      <c r="M244" s="28">
        <f>IF(A244="","",C244*'Menu Productos'!$E$5+D244*'Menu Productos'!$E$6+E244*'Menu Productos'!$E$7+F244*'Menu Productos'!$E$8+G244*'Menu Productos'!$E$9+H244*'Menu Productos'!$E$10+I244*'Menu Productos'!$E$11+J244*'Menu Productos'!$E$12)</f>
        <v>0</v>
      </c>
      <c r="N244" s="29"/>
      <c r="O244" s="28">
        <f t="shared" si="17"/>
        <v>0</v>
      </c>
      <c r="P244" s="29"/>
      <c r="Q244" s="29"/>
      <c r="R244" s="29"/>
      <c r="S244" s="28">
        <f t="shared" si="18"/>
        <v>0</v>
      </c>
      <c r="T244" s="28">
        <f t="shared" si="19"/>
        <v>0</v>
      </c>
      <c r="U244" s="12"/>
      <c r="V244" s="12" t="str">
        <f ca="1">IF(A244&gt;TODAY(),"FUTURO",IF(AND(K244=0,N244=0,S244=0),"SIN MOVIMIENTO",IF(ABS(T244)&lt;='Metas y Control'!$B$6,"OK","REVISAR CAJA")))</f>
        <v>SIN MOVIMIENTO</v>
      </c>
    </row>
    <row r="245" spans="1:22" x14ac:dyDescent="0.3">
      <c r="A245" s="25">
        <f>IF(YEAR(A244+1)=Dashboard!$B$2,A244+1,"")</f>
        <v>46263</v>
      </c>
      <c r="B245" s="26" t="str">
        <f t="shared" si="15"/>
        <v>agosto</v>
      </c>
      <c r="C245" s="24"/>
      <c r="D245" s="24"/>
      <c r="E245" s="24"/>
      <c r="F245" s="24"/>
      <c r="G245" s="24"/>
      <c r="H245" s="24"/>
      <c r="I245" s="24"/>
      <c r="J245" s="24"/>
      <c r="K245" s="27">
        <f t="shared" si="16"/>
        <v>0</v>
      </c>
      <c r="L245" s="28">
        <f>IF(A245="","",C245*'Menu Productos'!$F$5+D245*'Menu Productos'!$F$6+E245*'Menu Productos'!$F$7+F245*'Menu Productos'!$F$8+G245*'Menu Productos'!$F$9+H245*'Menu Productos'!$F$10+I245*'Menu Productos'!$F$11+J245*'Menu Productos'!$F$12)</f>
        <v>0</v>
      </c>
      <c r="M245" s="28">
        <f>IF(A245="","",C245*'Menu Productos'!$E$5+D245*'Menu Productos'!$E$6+E245*'Menu Productos'!$E$7+F245*'Menu Productos'!$E$8+G245*'Menu Productos'!$E$9+H245*'Menu Productos'!$E$10+I245*'Menu Productos'!$E$11+J245*'Menu Productos'!$E$12)</f>
        <v>0</v>
      </c>
      <c r="N245" s="29"/>
      <c r="O245" s="28">
        <f t="shared" si="17"/>
        <v>0</v>
      </c>
      <c r="P245" s="29"/>
      <c r="Q245" s="29"/>
      <c r="R245" s="29"/>
      <c r="S245" s="28">
        <f t="shared" si="18"/>
        <v>0</v>
      </c>
      <c r="T245" s="28">
        <f t="shared" si="19"/>
        <v>0</v>
      </c>
      <c r="U245" s="12"/>
      <c r="V245" s="12" t="str">
        <f ca="1">IF(A245&gt;TODAY(),"FUTURO",IF(AND(K245=0,N245=0,S245=0),"SIN MOVIMIENTO",IF(ABS(T245)&lt;='Metas y Control'!$B$6,"OK","REVISAR CAJA")))</f>
        <v>SIN MOVIMIENTO</v>
      </c>
    </row>
    <row r="246" spans="1:22" x14ac:dyDescent="0.3">
      <c r="A246" s="25">
        <f>IF(YEAR(A245+1)=Dashboard!$B$2,A245+1,"")</f>
        <v>46264</v>
      </c>
      <c r="B246" s="26" t="str">
        <f t="shared" si="15"/>
        <v>agosto</v>
      </c>
      <c r="C246" s="24"/>
      <c r="D246" s="24"/>
      <c r="E246" s="24"/>
      <c r="F246" s="24"/>
      <c r="G246" s="24"/>
      <c r="H246" s="24"/>
      <c r="I246" s="24"/>
      <c r="J246" s="24"/>
      <c r="K246" s="27">
        <f t="shared" si="16"/>
        <v>0</v>
      </c>
      <c r="L246" s="28">
        <f>IF(A246="","",C246*'Menu Productos'!$F$5+D246*'Menu Productos'!$F$6+E246*'Menu Productos'!$F$7+F246*'Menu Productos'!$F$8+G246*'Menu Productos'!$F$9+H246*'Menu Productos'!$F$10+I246*'Menu Productos'!$F$11+J246*'Menu Productos'!$F$12)</f>
        <v>0</v>
      </c>
      <c r="M246" s="28">
        <f>IF(A246="","",C246*'Menu Productos'!$E$5+D246*'Menu Productos'!$E$6+E246*'Menu Productos'!$E$7+F246*'Menu Productos'!$E$8+G246*'Menu Productos'!$E$9+H246*'Menu Productos'!$E$10+I246*'Menu Productos'!$E$11+J246*'Menu Productos'!$E$12)</f>
        <v>0</v>
      </c>
      <c r="N246" s="29"/>
      <c r="O246" s="28">
        <f t="shared" si="17"/>
        <v>0</v>
      </c>
      <c r="P246" s="29"/>
      <c r="Q246" s="29"/>
      <c r="R246" s="29"/>
      <c r="S246" s="28">
        <f t="shared" si="18"/>
        <v>0</v>
      </c>
      <c r="T246" s="28">
        <f t="shared" si="19"/>
        <v>0</v>
      </c>
      <c r="U246" s="12"/>
      <c r="V246" s="12" t="str">
        <f ca="1">IF(A246&gt;TODAY(),"FUTURO",IF(AND(K246=0,N246=0,S246=0),"SIN MOVIMIENTO",IF(ABS(T246)&lt;='Metas y Control'!$B$6,"OK","REVISAR CAJA")))</f>
        <v>SIN MOVIMIENTO</v>
      </c>
    </row>
    <row r="247" spans="1:22" x14ac:dyDescent="0.3">
      <c r="A247" s="25">
        <f>IF(YEAR(A246+1)=Dashboard!$B$2,A246+1,"")</f>
        <v>46265</v>
      </c>
      <c r="B247" s="26" t="str">
        <f t="shared" si="15"/>
        <v>agosto</v>
      </c>
      <c r="C247" s="24"/>
      <c r="D247" s="24"/>
      <c r="E247" s="24"/>
      <c r="F247" s="24"/>
      <c r="G247" s="24"/>
      <c r="H247" s="24"/>
      <c r="I247" s="24"/>
      <c r="J247" s="24"/>
      <c r="K247" s="27">
        <f t="shared" si="16"/>
        <v>0</v>
      </c>
      <c r="L247" s="28">
        <f>IF(A247="","",C247*'Menu Productos'!$F$5+D247*'Menu Productos'!$F$6+E247*'Menu Productos'!$F$7+F247*'Menu Productos'!$F$8+G247*'Menu Productos'!$F$9+H247*'Menu Productos'!$F$10+I247*'Menu Productos'!$F$11+J247*'Menu Productos'!$F$12)</f>
        <v>0</v>
      </c>
      <c r="M247" s="28">
        <f>IF(A247="","",C247*'Menu Productos'!$E$5+D247*'Menu Productos'!$E$6+E247*'Menu Productos'!$E$7+F247*'Menu Productos'!$E$8+G247*'Menu Productos'!$E$9+H247*'Menu Productos'!$E$10+I247*'Menu Productos'!$E$11+J247*'Menu Productos'!$E$12)</f>
        <v>0</v>
      </c>
      <c r="N247" s="29"/>
      <c r="O247" s="28">
        <f t="shared" si="17"/>
        <v>0</v>
      </c>
      <c r="P247" s="29"/>
      <c r="Q247" s="29"/>
      <c r="R247" s="29"/>
      <c r="S247" s="28">
        <f t="shared" si="18"/>
        <v>0</v>
      </c>
      <c r="T247" s="28">
        <f t="shared" si="19"/>
        <v>0</v>
      </c>
      <c r="U247" s="12"/>
      <c r="V247" s="12" t="str">
        <f ca="1">IF(A247&gt;TODAY(),"FUTURO",IF(AND(K247=0,N247=0,S247=0),"SIN MOVIMIENTO",IF(ABS(T247)&lt;='Metas y Control'!$B$6,"OK","REVISAR CAJA")))</f>
        <v>SIN MOVIMIENTO</v>
      </c>
    </row>
    <row r="248" spans="1:22" x14ac:dyDescent="0.3">
      <c r="A248" s="25">
        <f>IF(YEAR(A247+1)=Dashboard!$B$2,A247+1,"")</f>
        <v>46266</v>
      </c>
      <c r="B248" s="26" t="str">
        <f t="shared" si="15"/>
        <v>septiembre</v>
      </c>
      <c r="C248" s="24"/>
      <c r="D248" s="24"/>
      <c r="E248" s="24"/>
      <c r="F248" s="24"/>
      <c r="G248" s="24"/>
      <c r="H248" s="24"/>
      <c r="I248" s="24"/>
      <c r="J248" s="24"/>
      <c r="K248" s="27">
        <f t="shared" si="16"/>
        <v>0</v>
      </c>
      <c r="L248" s="28">
        <f>IF(A248="","",C248*'Menu Productos'!$F$5+D248*'Menu Productos'!$F$6+E248*'Menu Productos'!$F$7+F248*'Menu Productos'!$F$8+G248*'Menu Productos'!$F$9+H248*'Menu Productos'!$F$10+I248*'Menu Productos'!$F$11+J248*'Menu Productos'!$F$12)</f>
        <v>0</v>
      </c>
      <c r="M248" s="28">
        <f>IF(A248="","",C248*'Menu Productos'!$E$5+D248*'Menu Productos'!$E$6+E248*'Menu Productos'!$E$7+F248*'Menu Productos'!$E$8+G248*'Menu Productos'!$E$9+H248*'Menu Productos'!$E$10+I248*'Menu Productos'!$E$11+J248*'Menu Productos'!$E$12)</f>
        <v>0</v>
      </c>
      <c r="N248" s="29"/>
      <c r="O248" s="28">
        <f t="shared" si="17"/>
        <v>0</v>
      </c>
      <c r="P248" s="29"/>
      <c r="Q248" s="29"/>
      <c r="R248" s="29"/>
      <c r="S248" s="28">
        <f t="shared" si="18"/>
        <v>0</v>
      </c>
      <c r="T248" s="28">
        <f t="shared" si="19"/>
        <v>0</v>
      </c>
      <c r="U248" s="12"/>
      <c r="V248" s="12" t="str">
        <f ca="1">IF(A248&gt;TODAY(),"FUTURO",IF(AND(K248=0,N248=0,S248=0),"SIN MOVIMIENTO",IF(ABS(T248)&lt;='Metas y Control'!$B$6,"OK","REVISAR CAJA")))</f>
        <v>SIN MOVIMIENTO</v>
      </c>
    </row>
    <row r="249" spans="1:22" x14ac:dyDescent="0.3">
      <c r="A249" s="25">
        <f>IF(YEAR(A248+1)=Dashboard!$B$2,A248+1,"")</f>
        <v>46267</v>
      </c>
      <c r="B249" s="26" t="str">
        <f t="shared" si="15"/>
        <v>septiembre</v>
      </c>
      <c r="C249" s="24"/>
      <c r="D249" s="24"/>
      <c r="E249" s="24"/>
      <c r="F249" s="24"/>
      <c r="G249" s="24"/>
      <c r="H249" s="24"/>
      <c r="I249" s="24"/>
      <c r="J249" s="24"/>
      <c r="K249" s="27">
        <f t="shared" si="16"/>
        <v>0</v>
      </c>
      <c r="L249" s="28">
        <f>IF(A249="","",C249*'Menu Productos'!$F$5+D249*'Menu Productos'!$F$6+E249*'Menu Productos'!$F$7+F249*'Menu Productos'!$F$8+G249*'Menu Productos'!$F$9+H249*'Menu Productos'!$F$10+I249*'Menu Productos'!$F$11+J249*'Menu Productos'!$F$12)</f>
        <v>0</v>
      </c>
      <c r="M249" s="28">
        <f>IF(A249="","",C249*'Menu Productos'!$E$5+D249*'Menu Productos'!$E$6+E249*'Menu Productos'!$E$7+F249*'Menu Productos'!$E$8+G249*'Menu Productos'!$E$9+H249*'Menu Productos'!$E$10+I249*'Menu Productos'!$E$11+J249*'Menu Productos'!$E$12)</f>
        <v>0</v>
      </c>
      <c r="N249" s="29"/>
      <c r="O249" s="28">
        <f t="shared" si="17"/>
        <v>0</v>
      </c>
      <c r="P249" s="29"/>
      <c r="Q249" s="29"/>
      <c r="R249" s="29"/>
      <c r="S249" s="28">
        <f t="shared" si="18"/>
        <v>0</v>
      </c>
      <c r="T249" s="28">
        <f t="shared" si="19"/>
        <v>0</v>
      </c>
      <c r="U249" s="12"/>
      <c r="V249" s="12" t="str">
        <f ca="1">IF(A249&gt;TODAY(),"FUTURO",IF(AND(K249=0,N249=0,S249=0),"SIN MOVIMIENTO",IF(ABS(T249)&lt;='Metas y Control'!$B$6,"OK","REVISAR CAJA")))</f>
        <v>SIN MOVIMIENTO</v>
      </c>
    </row>
    <row r="250" spans="1:22" x14ac:dyDescent="0.3">
      <c r="A250" s="25">
        <f>IF(YEAR(A249+1)=Dashboard!$B$2,A249+1,"")</f>
        <v>46268</v>
      </c>
      <c r="B250" s="26" t="str">
        <f t="shared" si="15"/>
        <v>septiembre</v>
      </c>
      <c r="C250" s="24"/>
      <c r="D250" s="24"/>
      <c r="E250" s="24"/>
      <c r="F250" s="24"/>
      <c r="G250" s="24"/>
      <c r="H250" s="24"/>
      <c r="I250" s="24"/>
      <c r="J250" s="24"/>
      <c r="K250" s="27">
        <f t="shared" si="16"/>
        <v>0</v>
      </c>
      <c r="L250" s="28">
        <f>IF(A250="","",C250*'Menu Productos'!$F$5+D250*'Menu Productos'!$F$6+E250*'Menu Productos'!$F$7+F250*'Menu Productos'!$F$8+G250*'Menu Productos'!$F$9+H250*'Menu Productos'!$F$10+I250*'Menu Productos'!$F$11+J250*'Menu Productos'!$F$12)</f>
        <v>0</v>
      </c>
      <c r="M250" s="28">
        <f>IF(A250="","",C250*'Menu Productos'!$E$5+D250*'Menu Productos'!$E$6+E250*'Menu Productos'!$E$7+F250*'Menu Productos'!$E$8+G250*'Menu Productos'!$E$9+H250*'Menu Productos'!$E$10+I250*'Menu Productos'!$E$11+J250*'Menu Productos'!$E$12)</f>
        <v>0</v>
      </c>
      <c r="N250" s="29"/>
      <c r="O250" s="28">
        <f t="shared" si="17"/>
        <v>0</v>
      </c>
      <c r="P250" s="29"/>
      <c r="Q250" s="29"/>
      <c r="R250" s="29"/>
      <c r="S250" s="28">
        <f t="shared" si="18"/>
        <v>0</v>
      </c>
      <c r="T250" s="28">
        <f t="shared" si="19"/>
        <v>0</v>
      </c>
      <c r="U250" s="12"/>
      <c r="V250" s="12" t="str">
        <f ca="1">IF(A250&gt;TODAY(),"FUTURO",IF(AND(K250=0,N250=0,S250=0),"SIN MOVIMIENTO",IF(ABS(T250)&lt;='Metas y Control'!$B$6,"OK","REVISAR CAJA")))</f>
        <v>SIN MOVIMIENTO</v>
      </c>
    </row>
    <row r="251" spans="1:22" x14ac:dyDescent="0.3">
      <c r="A251" s="25">
        <f>IF(YEAR(A250+1)=Dashboard!$B$2,A250+1,"")</f>
        <v>46269</v>
      </c>
      <c r="B251" s="26" t="str">
        <f t="shared" si="15"/>
        <v>septiembre</v>
      </c>
      <c r="C251" s="24"/>
      <c r="D251" s="24"/>
      <c r="E251" s="24"/>
      <c r="F251" s="24"/>
      <c r="G251" s="24"/>
      <c r="H251" s="24"/>
      <c r="I251" s="24"/>
      <c r="J251" s="24"/>
      <c r="K251" s="27">
        <f t="shared" si="16"/>
        <v>0</v>
      </c>
      <c r="L251" s="28">
        <f>IF(A251="","",C251*'Menu Productos'!$F$5+D251*'Menu Productos'!$F$6+E251*'Menu Productos'!$F$7+F251*'Menu Productos'!$F$8+G251*'Menu Productos'!$F$9+H251*'Menu Productos'!$F$10+I251*'Menu Productos'!$F$11+J251*'Menu Productos'!$F$12)</f>
        <v>0</v>
      </c>
      <c r="M251" s="28">
        <f>IF(A251="","",C251*'Menu Productos'!$E$5+D251*'Menu Productos'!$E$6+E251*'Menu Productos'!$E$7+F251*'Menu Productos'!$E$8+G251*'Menu Productos'!$E$9+H251*'Menu Productos'!$E$10+I251*'Menu Productos'!$E$11+J251*'Menu Productos'!$E$12)</f>
        <v>0</v>
      </c>
      <c r="N251" s="29"/>
      <c r="O251" s="28">
        <f t="shared" si="17"/>
        <v>0</v>
      </c>
      <c r="P251" s="29"/>
      <c r="Q251" s="29"/>
      <c r="R251" s="29"/>
      <c r="S251" s="28">
        <f t="shared" si="18"/>
        <v>0</v>
      </c>
      <c r="T251" s="28">
        <f t="shared" si="19"/>
        <v>0</v>
      </c>
      <c r="U251" s="12"/>
      <c r="V251" s="12" t="str">
        <f ca="1">IF(A251&gt;TODAY(),"FUTURO",IF(AND(K251=0,N251=0,S251=0),"SIN MOVIMIENTO",IF(ABS(T251)&lt;='Metas y Control'!$B$6,"OK","REVISAR CAJA")))</f>
        <v>SIN MOVIMIENTO</v>
      </c>
    </row>
    <row r="252" spans="1:22" x14ac:dyDescent="0.3">
      <c r="A252" s="25">
        <f>IF(YEAR(A251+1)=Dashboard!$B$2,A251+1,"")</f>
        <v>46270</v>
      </c>
      <c r="B252" s="26" t="str">
        <f t="shared" si="15"/>
        <v>septiembre</v>
      </c>
      <c r="C252" s="24"/>
      <c r="D252" s="24"/>
      <c r="E252" s="24"/>
      <c r="F252" s="24"/>
      <c r="G252" s="24"/>
      <c r="H252" s="24"/>
      <c r="I252" s="24"/>
      <c r="J252" s="24"/>
      <c r="K252" s="27">
        <f t="shared" si="16"/>
        <v>0</v>
      </c>
      <c r="L252" s="28">
        <f>IF(A252="","",C252*'Menu Productos'!$F$5+D252*'Menu Productos'!$F$6+E252*'Menu Productos'!$F$7+F252*'Menu Productos'!$F$8+G252*'Menu Productos'!$F$9+H252*'Menu Productos'!$F$10+I252*'Menu Productos'!$F$11+J252*'Menu Productos'!$F$12)</f>
        <v>0</v>
      </c>
      <c r="M252" s="28">
        <f>IF(A252="","",C252*'Menu Productos'!$E$5+D252*'Menu Productos'!$E$6+E252*'Menu Productos'!$E$7+F252*'Menu Productos'!$E$8+G252*'Menu Productos'!$E$9+H252*'Menu Productos'!$E$10+I252*'Menu Productos'!$E$11+J252*'Menu Productos'!$E$12)</f>
        <v>0</v>
      </c>
      <c r="N252" s="29"/>
      <c r="O252" s="28">
        <f t="shared" si="17"/>
        <v>0</v>
      </c>
      <c r="P252" s="29"/>
      <c r="Q252" s="29"/>
      <c r="R252" s="29"/>
      <c r="S252" s="28">
        <f t="shared" si="18"/>
        <v>0</v>
      </c>
      <c r="T252" s="28">
        <f t="shared" si="19"/>
        <v>0</v>
      </c>
      <c r="U252" s="12"/>
      <c r="V252" s="12" t="str">
        <f ca="1">IF(A252&gt;TODAY(),"FUTURO",IF(AND(K252=0,N252=0,S252=0),"SIN MOVIMIENTO",IF(ABS(T252)&lt;='Metas y Control'!$B$6,"OK","REVISAR CAJA")))</f>
        <v>SIN MOVIMIENTO</v>
      </c>
    </row>
    <row r="253" spans="1:22" x14ac:dyDescent="0.3">
      <c r="A253" s="25">
        <f>IF(YEAR(A252+1)=Dashboard!$B$2,A252+1,"")</f>
        <v>46271</v>
      </c>
      <c r="B253" s="26" t="str">
        <f t="shared" si="15"/>
        <v>septiembre</v>
      </c>
      <c r="C253" s="24"/>
      <c r="D253" s="24"/>
      <c r="E253" s="24"/>
      <c r="F253" s="24"/>
      <c r="G253" s="24"/>
      <c r="H253" s="24"/>
      <c r="I253" s="24"/>
      <c r="J253" s="24"/>
      <c r="K253" s="27">
        <f t="shared" si="16"/>
        <v>0</v>
      </c>
      <c r="L253" s="28">
        <f>IF(A253="","",C253*'Menu Productos'!$F$5+D253*'Menu Productos'!$F$6+E253*'Menu Productos'!$F$7+F253*'Menu Productos'!$F$8+G253*'Menu Productos'!$F$9+H253*'Menu Productos'!$F$10+I253*'Menu Productos'!$F$11+J253*'Menu Productos'!$F$12)</f>
        <v>0</v>
      </c>
      <c r="M253" s="28">
        <f>IF(A253="","",C253*'Menu Productos'!$E$5+D253*'Menu Productos'!$E$6+E253*'Menu Productos'!$E$7+F253*'Menu Productos'!$E$8+G253*'Menu Productos'!$E$9+H253*'Menu Productos'!$E$10+I253*'Menu Productos'!$E$11+J253*'Menu Productos'!$E$12)</f>
        <v>0</v>
      </c>
      <c r="N253" s="29"/>
      <c r="O253" s="28">
        <f t="shared" si="17"/>
        <v>0</v>
      </c>
      <c r="P253" s="29"/>
      <c r="Q253" s="29"/>
      <c r="R253" s="29"/>
      <c r="S253" s="28">
        <f t="shared" si="18"/>
        <v>0</v>
      </c>
      <c r="T253" s="28">
        <f t="shared" si="19"/>
        <v>0</v>
      </c>
      <c r="U253" s="12"/>
      <c r="V253" s="12" t="str">
        <f ca="1">IF(A253&gt;TODAY(),"FUTURO",IF(AND(K253=0,N253=0,S253=0),"SIN MOVIMIENTO",IF(ABS(T253)&lt;='Metas y Control'!$B$6,"OK","REVISAR CAJA")))</f>
        <v>SIN MOVIMIENTO</v>
      </c>
    </row>
    <row r="254" spans="1:22" x14ac:dyDescent="0.3">
      <c r="A254" s="25">
        <f>IF(YEAR(A253+1)=Dashboard!$B$2,A253+1,"")</f>
        <v>46272</v>
      </c>
      <c r="B254" s="26" t="str">
        <f t="shared" si="15"/>
        <v>septiembre</v>
      </c>
      <c r="C254" s="24"/>
      <c r="D254" s="24"/>
      <c r="E254" s="24"/>
      <c r="F254" s="24"/>
      <c r="G254" s="24"/>
      <c r="H254" s="24"/>
      <c r="I254" s="24"/>
      <c r="J254" s="24"/>
      <c r="K254" s="27">
        <f t="shared" si="16"/>
        <v>0</v>
      </c>
      <c r="L254" s="28">
        <f>IF(A254="","",C254*'Menu Productos'!$F$5+D254*'Menu Productos'!$F$6+E254*'Menu Productos'!$F$7+F254*'Menu Productos'!$F$8+G254*'Menu Productos'!$F$9+H254*'Menu Productos'!$F$10+I254*'Menu Productos'!$F$11+J254*'Menu Productos'!$F$12)</f>
        <v>0</v>
      </c>
      <c r="M254" s="28">
        <f>IF(A254="","",C254*'Menu Productos'!$E$5+D254*'Menu Productos'!$E$6+E254*'Menu Productos'!$E$7+F254*'Menu Productos'!$E$8+G254*'Menu Productos'!$E$9+H254*'Menu Productos'!$E$10+I254*'Menu Productos'!$E$11+J254*'Menu Productos'!$E$12)</f>
        <v>0</v>
      </c>
      <c r="N254" s="29"/>
      <c r="O254" s="28">
        <f t="shared" si="17"/>
        <v>0</v>
      </c>
      <c r="P254" s="29"/>
      <c r="Q254" s="29"/>
      <c r="R254" s="29"/>
      <c r="S254" s="28">
        <f t="shared" si="18"/>
        <v>0</v>
      </c>
      <c r="T254" s="28">
        <f t="shared" si="19"/>
        <v>0</v>
      </c>
      <c r="U254" s="12"/>
      <c r="V254" s="12" t="str">
        <f ca="1">IF(A254&gt;TODAY(),"FUTURO",IF(AND(K254=0,N254=0,S254=0),"SIN MOVIMIENTO",IF(ABS(T254)&lt;='Metas y Control'!$B$6,"OK","REVISAR CAJA")))</f>
        <v>SIN MOVIMIENTO</v>
      </c>
    </row>
    <row r="255" spans="1:22" x14ac:dyDescent="0.3">
      <c r="A255" s="25">
        <f>IF(YEAR(A254+1)=Dashboard!$B$2,A254+1,"")</f>
        <v>46273</v>
      </c>
      <c r="B255" s="26" t="str">
        <f t="shared" si="15"/>
        <v>septiembre</v>
      </c>
      <c r="C255" s="24"/>
      <c r="D255" s="24"/>
      <c r="E255" s="24"/>
      <c r="F255" s="24"/>
      <c r="G255" s="24"/>
      <c r="H255" s="24"/>
      <c r="I255" s="24"/>
      <c r="J255" s="24"/>
      <c r="K255" s="27">
        <f t="shared" si="16"/>
        <v>0</v>
      </c>
      <c r="L255" s="28">
        <f>IF(A255="","",C255*'Menu Productos'!$F$5+D255*'Menu Productos'!$F$6+E255*'Menu Productos'!$F$7+F255*'Menu Productos'!$F$8+G255*'Menu Productos'!$F$9+H255*'Menu Productos'!$F$10+I255*'Menu Productos'!$F$11+J255*'Menu Productos'!$F$12)</f>
        <v>0</v>
      </c>
      <c r="M255" s="28">
        <f>IF(A255="","",C255*'Menu Productos'!$E$5+D255*'Menu Productos'!$E$6+E255*'Menu Productos'!$E$7+F255*'Menu Productos'!$E$8+G255*'Menu Productos'!$E$9+H255*'Menu Productos'!$E$10+I255*'Menu Productos'!$E$11+J255*'Menu Productos'!$E$12)</f>
        <v>0</v>
      </c>
      <c r="N255" s="29"/>
      <c r="O255" s="28">
        <f t="shared" si="17"/>
        <v>0</v>
      </c>
      <c r="P255" s="29"/>
      <c r="Q255" s="29"/>
      <c r="R255" s="29"/>
      <c r="S255" s="28">
        <f t="shared" si="18"/>
        <v>0</v>
      </c>
      <c r="T255" s="28">
        <f t="shared" si="19"/>
        <v>0</v>
      </c>
      <c r="U255" s="12"/>
      <c r="V255" s="12" t="str">
        <f ca="1">IF(A255&gt;TODAY(),"FUTURO",IF(AND(K255=0,N255=0,S255=0),"SIN MOVIMIENTO",IF(ABS(T255)&lt;='Metas y Control'!$B$6,"OK","REVISAR CAJA")))</f>
        <v>SIN MOVIMIENTO</v>
      </c>
    </row>
    <row r="256" spans="1:22" x14ac:dyDescent="0.3">
      <c r="A256" s="25">
        <f>IF(YEAR(A255+1)=Dashboard!$B$2,A255+1,"")</f>
        <v>46274</v>
      </c>
      <c r="B256" s="26" t="str">
        <f t="shared" si="15"/>
        <v>septiembre</v>
      </c>
      <c r="C256" s="24"/>
      <c r="D256" s="24"/>
      <c r="E256" s="24"/>
      <c r="F256" s="24"/>
      <c r="G256" s="24"/>
      <c r="H256" s="24"/>
      <c r="I256" s="24"/>
      <c r="J256" s="24"/>
      <c r="K256" s="27">
        <f t="shared" si="16"/>
        <v>0</v>
      </c>
      <c r="L256" s="28">
        <f>IF(A256="","",C256*'Menu Productos'!$F$5+D256*'Menu Productos'!$F$6+E256*'Menu Productos'!$F$7+F256*'Menu Productos'!$F$8+G256*'Menu Productos'!$F$9+H256*'Menu Productos'!$F$10+I256*'Menu Productos'!$F$11+J256*'Menu Productos'!$F$12)</f>
        <v>0</v>
      </c>
      <c r="M256" s="28">
        <f>IF(A256="","",C256*'Menu Productos'!$E$5+D256*'Menu Productos'!$E$6+E256*'Menu Productos'!$E$7+F256*'Menu Productos'!$E$8+G256*'Menu Productos'!$E$9+H256*'Menu Productos'!$E$10+I256*'Menu Productos'!$E$11+J256*'Menu Productos'!$E$12)</f>
        <v>0</v>
      </c>
      <c r="N256" s="29"/>
      <c r="O256" s="28">
        <f t="shared" si="17"/>
        <v>0</v>
      </c>
      <c r="P256" s="29"/>
      <c r="Q256" s="29"/>
      <c r="R256" s="29"/>
      <c r="S256" s="28">
        <f t="shared" si="18"/>
        <v>0</v>
      </c>
      <c r="T256" s="28">
        <f t="shared" si="19"/>
        <v>0</v>
      </c>
      <c r="U256" s="12"/>
      <c r="V256" s="12" t="str">
        <f ca="1">IF(A256&gt;TODAY(),"FUTURO",IF(AND(K256=0,N256=0,S256=0),"SIN MOVIMIENTO",IF(ABS(T256)&lt;='Metas y Control'!$B$6,"OK","REVISAR CAJA")))</f>
        <v>SIN MOVIMIENTO</v>
      </c>
    </row>
    <row r="257" spans="1:22" x14ac:dyDescent="0.3">
      <c r="A257" s="25">
        <f>IF(YEAR(A256+1)=Dashboard!$B$2,A256+1,"")</f>
        <v>46275</v>
      </c>
      <c r="B257" s="26" t="str">
        <f t="shared" si="15"/>
        <v>septiembre</v>
      </c>
      <c r="C257" s="24"/>
      <c r="D257" s="24"/>
      <c r="E257" s="24"/>
      <c r="F257" s="24"/>
      <c r="G257" s="24"/>
      <c r="H257" s="24"/>
      <c r="I257" s="24"/>
      <c r="J257" s="24"/>
      <c r="K257" s="27">
        <f t="shared" si="16"/>
        <v>0</v>
      </c>
      <c r="L257" s="28">
        <f>IF(A257="","",C257*'Menu Productos'!$F$5+D257*'Menu Productos'!$F$6+E257*'Menu Productos'!$F$7+F257*'Menu Productos'!$F$8+G257*'Menu Productos'!$F$9+H257*'Menu Productos'!$F$10+I257*'Menu Productos'!$F$11+J257*'Menu Productos'!$F$12)</f>
        <v>0</v>
      </c>
      <c r="M257" s="28">
        <f>IF(A257="","",C257*'Menu Productos'!$E$5+D257*'Menu Productos'!$E$6+E257*'Menu Productos'!$E$7+F257*'Menu Productos'!$E$8+G257*'Menu Productos'!$E$9+H257*'Menu Productos'!$E$10+I257*'Menu Productos'!$E$11+J257*'Menu Productos'!$E$12)</f>
        <v>0</v>
      </c>
      <c r="N257" s="29"/>
      <c r="O257" s="28">
        <f t="shared" si="17"/>
        <v>0</v>
      </c>
      <c r="P257" s="29"/>
      <c r="Q257" s="29"/>
      <c r="R257" s="29"/>
      <c r="S257" s="28">
        <f t="shared" si="18"/>
        <v>0</v>
      </c>
      <c r="T257" s="28">
        <f t="shared" si="19"/>
        <v>0</v>
      </c>
      <c r="U257" s="12"/>
      <c r="V257" s="12" t="str">
        <f ca="1">IF(A257&gt;TODAY(),"FUTURO",IF(AND(K257=0,N257=0,S257=0),"SIN MOVIMIENTO",IF(ABS(T257)&lt;='Metas y Control'!$B$6,"OK","REVISAR CAJA")))</f>
        <v>SIN MOVIMIENTO</v>
      </c>
    </row>
    <row r="258" spans="1:22" x14ac:dyDescent="0.3">
      <c r="A258" s="25">
        <f>IF(YEAR(A257+1)=Dashboard!$B$2,A257+1,"")</f>
        <v>46276</v>
      </c>
      <c r="B258" s="26" t="str">
        <f t="shared" si="15"/>
        <v>septiembre</v>
      </c>
      <c r="C258" s="24"/>
      <c r="D258" s="24"/>
      <c r="E258" s="24"/>
      <c r="F258" s="24"/>
      <c r="G258" s="24"/>
      <c r="H258" s="24"/>
      <c r="I258" s="24"/>
      <c r="J258" s="24"/>
      <c r="K258" s="27">
        <f t="shared" si="16"/>
        <v>0</v>
      </c>
      <c r="L258" s="28">
        <f>IF(A258="","",C258*'Menu Productos'!$F$5+D258*'Menu Productos'!$F$6+E258*'Menu Productos'!$F$7+F258*'Menu Productos'!$F$8+G258*'Menu Productos'!$F$9+H258*'Menu Productos'!$F$10+I258*'Menu Productos'!$F$11+J258*'Menu Productos'!$F$12)</f>
        <v>0</v>
      </c>
      <c r="M258" s="28">
        <f>IF(A258="","",C258*'Menu Productos'!$E$5+D258*'Menu Productos'!$E$6+E258*'Menu Productos'!$E$7+F258*'Menu Productos'!$E$8+G258*'Menu Productos'!$E$9+H258*'Menu Productos'!$E$10+I258*'Menu Productos'!$E$11+J258*'Menu Productos'!$E$12)</f>
        <v>0</v>
      </c>
      <c r="N258" s="29"/>
      <c r="O258" s="28">
        <f t="shared" si="17"/>
        <v>0</v>
      </c>
      <c r="P258" s="29"/>
      <c r="Q258" s="29"/>
      <c r="R258" s="29"/>
      <c r="S258" s="28">
        <f t="shared" si="18"/>
        <v>0</v>
      </c>
      <c r="T258" s="28">
        <f t="shared" si="19"/>
        <v>0</v>
      </c>
      <c r="U258" s="12"/>
      <c r="V258" s="12" t="str">
        <f ca="1">IF(A258&gt;TODAY(),"FUTURO",IF(AND(K258=0,N258=0,S258=0),"SIN MOVIMIENTO",IF(ABS(T258)&lt;='Metas y Control'!$B$6,"OK","REVISAR CAJA")))</f>
        <v>SIN MOVIMIENTO</v>
      </c>
    </row>
    <row r="259" spans="1:22" x14ac:dyDescent="0.3">
      <c r="A259" s="25">
        <f>IF(YEAR(A258+1)=Dashboard!$B$2,A258+1,"")</f>
        <v>46277</v>
      </c>
      <c r="B259" s="26" t="str">
        <f t="shared" si="15"/>
        <v>septiembre</v>
      </c>
      <c r="C259" s="24"/>
      <c r="D259" s="24"/>
      <c r="E259" s="24"/>
      <c r="F259" s="24"/>
      <c r="G259" s="24"/>
      <c r="H259" s="24"/>
      <c r="I259" s="24"/>
      <c r="J259" s="24"/>
      <c r="K259" s="27">
        <f t="shared" si="16"/>
        <v>0</v>
      </c>
      <c r="L259" s="28">
        <f>IF(A259="","",C259*'Menu Productos'!$F$5+D259*'Menu Productos'!$F$6+E259*'Menu Productos'!$F$7+F259*'Menu Productos'!$F$8+G259*'Menu Productos'!$F$9+H259*'Menu Productos'!$F$10+I259*'Menu Productos'!$F$11+J259*'Menu Productos'!$F$12)</f>
        <v>0</v>
      </c>
      <c r="M259" s="28">
        <f>IF(A259="","",C259*'Menu Productos'!$E$5+D259*'Menu Productos'!$E$6+E259*'Menu Productos'!$E$7+F259*'Menu Productos'!$E$8+G259*'Menu Productos'!$E$9+H259*'Menu Productos'!$E$10+I259*'Menu Productos'!$E$11+J259*'Menu Productos'!$E$12)</f>
        <v>0</v>
      </c>
      <c r="N259" s="29"/>
      <c r="O259" s="28">
        <f t="shared" si="17"/>
        <v>0</v>
      </c>
      <c r="P259" s="29"/>
      <c r="Q259" s="29"/>
      <c r="R259" s="29"/>
      <c r="S259" s="28">
        <f t="shared" si="18"/>
        <v>0</v>
      </c>
      <c r="T259" s="28">
        <f t="shared" si="19"/>
        <v>0</v>
      </c>
      <c r="U259" s="12"/>
      <c r="V259" s="12" t="str">
        <f ca="1">IF(A259&gt;TODAY(),"FUTURO",IF(AND(K259=0,N259=0,S259=0),"SIN MOVIMIENTO",IF(ABS(T259)&lt;='Metas y Control'!$B$6,"OK","REVISAR CAJA")))</f>
        <v>SIN MOVIMIENTO</v>
      </c>
    </row>
    <row r="260" spans="1:22" x14ac:dyDescent="0.3">
      <c r="A260" s="25">
        <f>IF(YEAR(A259+1)=Dashboard!$B$2,A259+1,"")</f>
        <v>46278</v>
      </c>
      <c r="B260" s="26" t="str">
        <f t="shared" si="15"/>
        <v>septiembre</v>
      </c>
      <c r="C260" s="24"/>
      <c r="D260" s="24"/>
      <c r="E260" s="24"/>
      <c r="F260" s="24"/>
      <c r="G260" s="24"/>
      <c r="H260" s="24"/>
      <c r="I260" s="24"/>
      <c r="J260" s="24"/>
      <c r="K260" s="27">
        <f t="shared" si="16"/>
        <v>0</v>
      </c>
      <c r="L260" s="28">
        <f>IF(A260="","",C260*'Menu Productos'!$F$5+D260*'Menu Productos'!$F$6+E260*'Menu Productos'!$F$7+F260*'Menu Productos'!$F$8+G260*'Menu Productos'!$F$9+H260*'Menu Productos'!$F$10+I260*'Menu Productos'!$F$11+J260*'Menu Productos'!$F$12)</f>
        <v>0</v>
      </c>
      <c r="M260" s="28">
        <f>IF(A260="","",C260*'Menu Productos'!$E$5+D260*'Menu Productos'!$E$6+E260*'Menu Productos'!$E$7+F260*'Menu Productos'!$E$8+G260*'Menu Productos'!$E$9+H260*'Menu Productos'!$E$10+I260*'Menu Productos'!$E$11+J260*'Menu Productos'!$E$12)</f>
        <v>0</v>
      </c>
      <c r="N260" s="29"/>
      <c r="O260" s="28">
        <f t="shared" si="17"/>
        <v>0</v>
      </c>
      <c r="P260" s="29"/>
      <c r="Q260" s="29"/>
      <c r="R260" s="29"/>
      <c r="S260" s="28">
        <f t="shared" si="18"/>
        <v>0</v>
      </c>
      <c r="T260" s="28">
        <f t="shared" si="19"/>
        <v>0</v>
      </c>
      <c r="U260" s="12"/>
      <c r="V260" s="12" t="str">
        <f ca="1">IF(A260&gt;TODAY(),"FUTURO",IF(AND(K260=0,N260=0,S260=0),"SIN MOVIMIENTO",IF(ABS(T260)&lt;='Metas y Control'!$B$6,"OK","REVISAR CAJA")))</f>
        <v>SIN MOVIMIENTO</v>
      </c>
    </row>
    <row r="261" spans="1:22" x14ac:dyDescent="0.3">
      <c r="A261" s="25">
        <f>IF(YEAR(A260+1)=Dashboard!$B$2,A260+1,"")</f>
        <v>46279</v>
      </c>
      <c r="B261" s="26" t="str">
        <f t="shared" si="15"/>
        <v>septiembre</v>
      </c>
      <c r="C261" s="24"/>
      <c r="D261" s="24"/>
      <c r="E261" s="24"/>
      <c r="F261" s="24"/>
      <c r="G261" s="24"/>
      <c r="H261" s="24"/>
      <c r="I261" s="24"/>
      <c r="J261" s="24"/>
      <c r="K261" s="27">
        <f t="shared" si="16"/>
        <v>0</v>
      </c>
      <c r="L261" s="28">
        <f>IF(A261="","",C261*'Menu Productos'!$F$5+D261*'Menu Productos'!$F$6+E261*'Menu Productos'!$F$7+F261*'Menu Productos'!$F$8+G261*'Menu Productos'!$F$9+H261*'Menu Productos'!$F$10+I261*'Menu Productos'!$F$11+J261*'Menu Productos'!$F$12)</f>
        <v>0</v>
      </c>
      <c r="M261" s="28">
        <f>IF(A261="","",C261*'Menu Productos'!$E$5+D261*'Menu Productos'!$E$6+E261*'Menu Productos'!$E$7+F261*'Menu Productos'!$E$8+G261*'Menu Productos'!$E$9+H261*'Menu Productos'!$E$10+I261*'Menu Productos'!$E$11+J261*'Menu Productos'!$E$12)</f>
        <v>0</v>
      </c>
      <c r="N261" s="29"/>
      <c r="O261" s="28">
        <f t="shared" si="17"/>
        <v>0</v>
      </c>
      <c r="P261" s="29"/>
      <c r="Q261" s="29"/>
      <c r="R261" s="29"/>
      <c r="S261" s="28">
        <f t="shared" si="18"/>
        <v>0</v>
      </c>
      <c r="T261" s="28">
        <f t="shared" si="19"/>
        <v>0</v>
      </c>
      <c r="U261" s="12"/>
      <c r="V261" s="12" t="str">
        <f ca="1">IF(A261&gt;TODAY(),"FUTURO",IF(AND(K261=0,N261=0,S261=0),"SIN MOVIMIENTO",IF(ABS(T261)&lt;='Metas y Control'!$B$6,"OK","REVISAR CAJA")))</f>
        <v>SIN MOVIMIENTO</v>
      </c>
    </row>
    <row r="262" spans="1:22" x14ac:dyDescent="0.3">
      <c r="A262" s="25">
        <f>IF(YEAR(A261+1)=Dashboard!$B$2,A261+1,"")</f>
        <v>46280</v>
      </c>
      <c r="B262" s="26" t="str">
        <f t="shared" ref="B262:B325" si="20">IF(A262="","",TEXT(A262,"mmmm"))</f>
        <v>septiembre</v>
      </c>
      <c r="C262" s="24"/>
      <c r="D262" s="24"/>
      <c r="E262" s="24"/>
      <c r="F262" s="24"/>
      <c r="G262" s="24"/>
      <c r="H262" s="24"/>
      <c r="I262" s="24"/>
      <c r="J262" s="24"/>
      <c r="K262" s="27">
        <f t="shared" ref="K262:K325" si="21">IF(A262="","",SUM(C262:J262))</f>
        <v>0</v>
      </c>
      <c r="L262" s="28">
        <f>IF(A262="","",C262*'Menu Productos'!$F$5+D262*'Menu Productos'!$F$6+E262*'Menu Productos'!$F$7+F262*'Menu Productos'!$F$8+G262*'Menu Productos'!$F$9+H262*'Menu Productos'!$F$10+I262*'Menu Productos'!$F$11+J262*'Menu Productos'!$F$12)</f>
        <v>0</v>
      </c>
      <c r="M262" s="28">
        <f>IF(A262="","",C262*'Menu Productos'!$E$5+D262*'Menu Productos'!$E$6+E262*'Menu Productos'!$E$7+F262*'Menu Productos'!$E$8+G262*'Menu Productos'!$E$9+H262*'Menu Productos'!$E$10+I262*'Menu Productos'!$E$11+J262*'Menu Productos'!$E$12)</f>
        <v>0</v>
      </c>
      <c r="N262" s="29"/>
      <c r="O262" s="28">
        <f t="shared" ref="O262:O325" si="22">IF(A262="","",L262-M262-N262)</f>
        <v>0</v>
      </c>
      <c r="P262" s="29"/>
      <c r="Q262" s="29"/>
      <c r="R262" s="29"/>
      <c r="S262" s="28">
        <f t="shared" ref="S262:S325" si="23">IF(A262="","",SUM(P262:R262))</f>
        <v>0</v>
      </c>
      <c r="T262" s="28">
        <f t="shared" ref="T262:T325" si="24">IF(A262="","",S262-(L262-N262))</f>
        <v>0</v>
      </c>
      <c r="U262" s="12"/>
      <c r="V262" s="12" t="str">
        <f ca="1">IF(A262&gt;TODAY(),"FUTURO",IF(AND(K262=0,N262=0,S262=0),"SIN MOVIMIENTO",IF(ABS(T262)&lt;='Metas y Control'!$B$6,"OK","REVISAR CAJA")))</f>
        <v>SIN MOVIMIENTO</v>
      </c>
    </row>
    <row r="263" spans="1:22" x14ac:dyDescent="0.3">
      <c r="A263" s="25">
        <f>IF(YEAR(A262+1)=Dashboard!$B$2,A262+1,"")</f>
        <v>46281</v>
      </c>
      <c r="B263" s="26" t="str">
        <f t="shared" si="20"/>
        <v>septiembre</v>
      </c>
      <c r="C263" s="24"/>
      <c r="D263" s="24"/>
      <c r="E263" s="24"/>
      <c r="F263" s="24"/>
      <c r="G263" s="24"/>
      <c r="H263" s="24"/>
      <c r="I263" s="24"/>
      <c r="J263" s="24"/>
      <c r="K263" s="27">
        <f t="shared" si="21"/>
        <v>0</v>
      </c>
      <c r="L263" s="28">
        <f>IF(A263="","",C263*'Menu Productos'!$F$5+D263*'Menu Productos'!$F$6+E263*'Menu Productos'!$F$7+F263*'Menu Productos'!$F$8+G263*'Menu Productos'!$F$9+H263*'Menu Productos'!$F$10+I263*'Menu Productos'!$F$11+J263*'Menu Productos'!$F$12)</f>
        <v>0</v>
      </c>
      <c r="M263" s="28">
        <f>IF(A263="","",C263*'Menu Productos'!$E$5+D263*'Menu Productos'!$E$6+E263*'Menu Productos'!$E$7+F263*'Menu Productos'!$E$8+G263*'Menu Productos'!$E$9+H263*'Menu Productos'!$E$10+I263*'Menu Productos'!$E$11+J263*'Menu Productos'!$E$12)</f>
        <v>0</v>
      </c>
      <c r="N263" s="29"/>
      <c r="O263" s="28">
        <f t="shared" si="22"/>
        <v>0</v>
      </c>
      <c r="P263" s="29"/>
      <c r="Q263" s="29"/>
      <c r="R263" s="29"/>
      <c r="S263" s="28">
        <f t="shared" si="23"/>
        <v>0</v>
      </c>
      <c r="T263" s="28">
        <f t="shared" si="24"/>
        <v>0</v>
      </c>
      <c r="U263" s="12"/>
      <c r="V263" s="12" t="str">
        <f ca="1">IF(A263&gt;TODAY(),"FUTURO",IF(AND(K263=0,N263=0,S263=0),"SIN MOVIMIENTO",IF(ABS(T263)&lt;='Metas y Control'!$B$6,"OK","REVISAR CAJA")))</f>
        <v>SIN MOVIMIENTO</v>
      </c>
    </row>
    <row r="264" spans="1:22" x14ac:dyDescent="0.3">
      <c r="A264" s="25">
        <f>IF(YEAR(A263+1)=Dashboard!$B$2,A263+1,"")</f>
        <v>46282</v>
      </c>
      <c r="B264" s="26" t="str">
        <f t="shared" si="20"/>
        <v>septiembre</v>
      </c>
      <c r="C264" s="24"/>
      <c r="D264" s="24"/>
      <c r="E264" s="24"/>
      <c r="F264" s="24"/>
      <c r="G264" s="24"/>
      <c r="H264" s="24"/>
      <c r="I264" s="24"/>
      <c r="J264" s="24"/>
      <c r="K264" s="27">
        <f t="shared" si="21"/>
        <v>0</v>
      </c>
      <c r="L264" s="28">
        <f>IF(A264="","",C264*'Menu Productos'!$F$5+D264*'Menu Productos'!$F$6+E264*'Menu Productos'!$F$7+F264*'Menu Productos'!$F$8+G264*'Menu Productos'!$F$9+H264*'Menu Productos'!$F$10+I264*'Menu Productos'!$F$11+J264*'Menu Productos'!$F$12)</f>
        <v>0</v>
      </c>
      <c r="M264" s="28">
        <f>IF(A264="","",C264*'Menu Productos'!$E$5+D264*'Menu Productos'!$E$6+E264*'Menu Productos'!$E$7+F264*'Menu Productos'!$E$8+G264*'Menu Productos'!$E$9+H264*'Menu Productos'!$E$10+I264*'Menu Productos'!$E$11+J264*'Menu Productos'!$E$12)</f>
        <v>0</v>
      </c>
      <c r="N264" s="29"/>
      <c r="O264" s="28">
        <f t="shared" si="22"/>
        <v>0</v>
      </c>
      <c r="P264" s="29"/>
      <c r="Q264" s="29"/>
      <c r="R264" s="29"/>
      <c r="S264" s="28">
        <f t="shared" si="23"/>
        <v>0</v>
      </c>
      <c r="T264" s="28">
        <f t="shared" si="24"/>
        <v>0</v>
      </c>
      <c r="U264" s="12"/>
      <c r="V264" s="12" t="str">
        <f ca="1">IF(A264&gt;TODAY(),"FUTURO",IF(AND(K264=0,N264=0,S264=0),"SIN MOVIMIENTO",IF(ABS(T264)&lt;='Metas y Control'!$B$6,"OK","REVISAR CAJA")))</f>
        <v>SIN MOVIMIENTO</v>
      </c>
    </row>
    <row r="265" spans="1:22" x14ac:dyDescent="0.3">
      <c r="A265" s="25">
        <f>IF(YEAR(A264+1)=Dashboard!$B$2,A264+1,"")</f>
        <v>46283</v>
      </c>
      <c r="B265" s="26" t="str">
        <f t="shared" si="20"/>
        <v>septiembre</v>
      </c>
      <c r="C265" s="24"/>
      <c r="D265" s="24"/>
      <c r="E265" s="24"/>
      <c r="F265" s="24"/>
      <c r="G265" s="24"/>
      <c r="H265" s="24"/>
      <c r="I265" s="24"/>
      <c r="J265" s="24"/>
      <c r="K265" s="27">
        <f t="shared" si="21"/>
        <v>0</v>
      </c>
      <c r="L265" s="28">
        <f>IF(A265="","",C265*'Menu Productos'!$F$5+D265*'Menu Productos'!$F$6+E265*'Menu Productos'!$F$7+F265*'Menu Productos'!$F$8+G265*'Menu Productos'!$F$9+H265*'Menu Productos'!$F$10+I265*'Menu Productos'!$F$11+J265*'Menu Productos'!$F$12)</f>
        <v>0</v>
      </c>
      <c r="M265" s="28">
        <f>IF(A265="","",C265*'Menu Productos'!$E$5+D265*'Menu Productos'!$E$6+E265*'Menu Productos'!$E$7+F265*'Menu Productos'!$E$8+G265*'Menu Productos'!$E$9+H265*'Menu Productos'!$E$10+I265*'Menu Productos'!$E$11+J265*'Menu Productos'!$E$12)</f>
        <v>0</v>
      </c>
      <c r="N265" s="29"/>
      <c r="O265" s="28">
        <f t="shared" si="22"/>
        <v>0</v>
      </c>
      <c r="P265" s="29"/>
      <c r="Q265" s="29"/>
      <c r="R265" s="29"/>
      <c r="S265" s="28">
        <f t="shared" si="23"/>
        <v>0</v>
      </c>
      <c r="T265" s="28">
        <f t="shared" si="24"/>
        <v>0</v>
      </c>
      <c r="U265" s="12"/>
      <c r="V265" s="12" t="str">
        <f ca="1">IF(A265&gt;TODAY(),"FUTURO",IF(AND(K265=0,N265=0,S265=0),"SIN MOVIMIENTO",IF(ABS(T265)&lt;='Metas y Control'!$B$6,"OK","REVISAR CAJA")))</f>
        <v>SIN MOVIMIENTO</v>
      </c>
    </row>
    <row r="266" spans="1:22" x14ac:dyDescent="0.3">
      <c r="A266" s="25">
        <f>IF(YEAR(A265+1)=Dashboard!$B$2,A265+1,"")</f>
        <v>46284</v>
      </c>
      <c r="B266" s="26" t="str">
        <f t="shared" si="20"/>
        <v>septiembre</v>
      </c>
      <c r="C266" s="24"/>
      <c r="D266" s="24"/>
      <c r="E266" s="24"/>
      <c r="F266" s="24"/>
      <c r="G266" s="24"/>
      <c r="H266" s="24"/>
      <c r="I266" s="24"/>
      <c r="J266" s="24"/>
      <c r="K266" s="27">
        <f t="shared" si="21"/>
        <v>0</v>
      </c>
      <c r="L266" s="28">
        <f>IF(A266="","",C266*'Menu Productos'!$F$5+D266*'Menu Productos'!$F$6+E266*'Menu Productos'!$F$7+F266*'Menu Productos'!$F$8+G266*'Menu Productos'!$F$9+H266*'Menu Productos'!$F$10+I266*'Menu Productos'!$F$11+J266*'Menu Productos'!$F$12)</f>
        <v>0</v>
      </c>
      <c r="M266" s="28">
        <f>IF(A266="","",C266*'Menu Productos'!$E$5+D266*'Menu Productos'!$E$6+E266*'Menu Productos'!$E$7+F266*'Menu Productos'!$E$8+G266*'Menu Productos'!$E$9+H266*'Menu Productos'!$E$10+I266*'Menu Productos'!$E$11+J266*'Menu Productos'!$E$12)</f>
        <v>0</v>
      </c>
      <c r="N266" s="29"/>
      <c r="O266" s="28">
        <f t="shared" si="22"/>
        <v>0</v>
      </c>
      <c r="P266" s="29"/>
      <c r="Q266" s="29"/>
      <c r="R266" s="29"/>
      <c r="S266" s="28">
        <f t="shared" si="23"/>
        <v>0</v>
      </c>
      <c r="T266" s="28">
        <f t="shared" si="24"/>
        <v>0</v>
      </c>
      <c r="U266" s="12"/>
      <c r="V266" s="12" t="str">
        <f ca="1">IF(A266&gt;TODAY(),"FUTURO",IF(AND(K266=0,N266=0,S266=0),"SIN MOVIMIENTO",IF(ABS(T266)&lt;='Metas y Control'!$B$6,"OK","REVISAR CAJA")))</f>
        <v>SIN MOVIMIENTO</v>
      </c>
    </row>
    <row r="267" spans="1:22" x14ac:dyDescent="0.3">
      <c r="A267" s="25">
        <f>IF(YEAR(A266+1)=Dashboard!$B$2,A266+1,"")</f>
        <v>46285</v>
      </c>
      <c r="B267" s="26" t="str">
        <f t="shared" si="20"/>
        <v>septiembre</v>
      </c>
      <c r="C267" s="24"/>
      <c r="D267" s="24"/>
      <c r="E267" s="24"/>
      <c r="F267" s="24"/>
      <c r="G267" s="24"/>
      <c r="H267" s="24"/>
      <c r="I267" s="24"/>
      <c r="J267" s="24"/>
      <c r="K267" s="27">
        <f t="shared" si="21"/>
        <v>0</v>
      </c>
      <c r="L267" s="28">
        <f>IF(A267="","",C267*'Menu Productos'!$F$5+D267*'Menu Productos'!$F$6+E267*'Menu Productos'!$F$7+F267*'Menu Productos'!$F$8+G267*'Menu Productos'!$F$9+H267*'Menu Productos'!$F$10+I267*'Menu Productos'!$F$11+J267*'Menu Productos'!$F$12)</f>
        <v>0</v>
      </c>
      <c r="M267" s="28">
        <f>IF(A267="","",C267*'Menu Productos'!$E$5+D267*'Menu Productos'!$E$6+E267*'Menu Productos'!$E$7+F267*'Menu Productos'!$E$8+G267*'Menu Productos'!$E$9+H267*'Menu Productos'!$E$10+I267*'Menu Productos'!$E$11+J267*'Menu Productos'!$E$12)</f>
        <v>0</v>
      </c>
      <c r="N267" s="29"/>
      <c r="O267" s="28">
        <f t="shared" si="22"/>
        <v>0</v>
      </c>
      <c r="P267" s="29"/>
      <c r="Q267" s="29"/>
      <c r="R267" s="29"/>
      <c r="S267" s="28">
        <f t="shared" si="23"/>
        <v>0</v>
      </c>
      <c r="T267" s="28">
        <f t="shared" si="24"/>
        <v>0</v>
      </c>
      <c r="U267" s="12"/>
      <c r="V267" s="12" t="str">
        <f ca="1">IF(A267&gt;TODAY(),"FUTURO",IF(AND(K267=0,N267=0,S267=0),"SIN MOVIMIENTO",IF(ABS(T267)&lt;='Metas y Control'!$B$6,"OK","REVISAR CAJA")))</f>
        <v>SIN MOVIMIENTO</v>
      </c>
    </row>
    <row r="268" spans="1:22" x14ac:dyDescent="0.3">
      <c r="A268" s="25">
        <f>IF(YEAR(A267+1)=Dashboard!$B$2,A267+1,"")</f>
        <v>46286</v>
      </c>
      <c r="B268" s="26" t="str">
        <f t="shared" si="20"/>
        <v>septiembre</v>
      </c>
      <c r="C268" s="24"/>
      <c r="D268" s="24"/>
      <c r="E268" s="24"/>
      <c r="F268" s="24"/>
      <c r="G268" s="24"/>
      <c r="H268" s="24"/>
      <c r="I268" s="24"/>
      <c r="J268" s="24"/>
      <c r="K268" s="27">
        <f t="shared" si="21"/>
        <v>0</v>
      </c>
      <c r="L268" s="28">
        <f>IF(A268="","",C268*'Menu Productos'!$F$5+D268*'Menu Productos'!$F$6+E268*'Menu Productos'!$F$7+F268*'Menu Productos'!$F$8+G268*'Menu Productos'!$F$9+H268*'Menu Productos'!$F$10+I268*'Menu Productos'!$F$11+J268*'Menu Productos'!$F$12)</f>
        <v>0</v>
      </c>
      <c r="M268" s="28">
        <f>IF(A268="","",C268*'Menu Productos'!$E$5+D268*'Menu Productos'!$E$6+E268*'Menu Productos'!$E$7+F268*'Menu Productos'!$E$8+G268*'Menu Productos'!$E$9+H268*'Menu Productos'!$E$10+I268*'Menu Productos'!$E$11+J268*'Menu Productos'!$E$12)</f>
        <v>0</v>
      </c>
      <c r="N268" s="29"/>
      <c r="O268" s="28">
        <f t="shared" si="22"/>
        <v>0</v>
      </c>
      <c r="P268" s="29"/>
      <c r="Q268" s="29"/>
      <c r="R268" s="29"/>
      <c r="S268" s="28">
        <f t="shared" si="23"/>
        <v>0</v>
      </c>
      <c r="T268" s="28">
        <f t="shared" si="24"/>
        <v>0</v>
      </c>
      <c r="U268" s="12"/>
      <c r="V268" s="12" t="str">
        <f ca="1">IF(A268&gt;TODAY(),"FUTURO",IF(AND(K268=0,N268=0,S268=0),"SIN MOVIMIENTO",IF(ABS(T268)&lt;='Metas y Control'!$B$6,"OK","REVISAR CAJA")))</f>
        <v>SIN MOVIMIENTO</v>
      </c>
    </row>
    <row r="269" spans="1:22" x14ac:dyDescent="0.3">
      <c r="A269" s="25">
        <f>IF(YEAR(A268+1)=Dashboard!$B$2,A268+1,"")</f>
        <v>46287</v>
      </c>
      <c r="B269" s="26" t="str">
        <f t="shared" si="20"/>
        <v>septiembre</v>
      </c>
      <c r="C269" s="24"/>
      <c r="D269" s="24"/>
      <c r="E269" s="24"/>
      <c r="F269" s="24"/>
      <c r="G269" s="24"/>
      <c r="H269" s="24"/>
      <c r="I269" s="24"/>
      <c r="J269" s="24"/>
      <c r="K269" s="27">
        <f t="shared" si="21"/>
        <v>0</v>
      </c>
      <c r="L269" s="28">
        <f>IF(A269="","",C269*'Menu Productos'!$F$5+D269*'Menu Productos'!$F$6+E269*'Menu Productos'!$F$7+F269*'Menu Productos'!$F$8+G269*'Menu Productos'!$F$9+H269*'Menu Productos'!$F$10+I269*'Menu Productos'!$F$11+J269*'Menu Productos'!$F$12)</f>
        <v>0</v>
      </c>
      <c r="M269" s="28">
        <f>IF(A269="","",C269*'Menu Productos'!$E$5+D269*'Menu Productos'!$E$6+E269*'Menu Productos'!$E$7+F269*'Menu Productos'!$E$8+G269*'Menu Productos'!$E$9+H269*'Menu Productos'!$E$10+I269*'Menu Productos'!$E$11+J269*'Menu Productos'!$E$12)</f>
        <v>0</v>
      </c>
      <c r="N269" s="29"/>
      <c r="O269" s="28">
        <f t="shared" si="22"/>
        <v>0</v>
      </c>
      <c r="P269" s="29"/>
      <c r="Q269" s="29"/>
      <c r="R269" s="29"/>
      <c r="S269" s="28">
        <f t="shared" si="23"/>
        <v>0</v>
      </c>
      <c r="T269" s="28">
        <f t="shared" si="24"/>
        <v>0</v>
      </c>
      <c r="U269" s="12"/>
      <c r="V269" s="12" t="str">
        <f ca="1">IF(A269&gt;TODAY(),"FUTURO",IF(AND(K269=0,N269=0,S269=0),"SIN MOVIMIENTO",IF(ABS(T269)&lt;='Metas y Control'!$B$6,"OK","REVISAR CAJA")))</f>
        <v>SIN MOVIMIENTO</v>
      </c>
    </row>
    <row r="270" spans="1:22" x14ac:dyDescent="0.3">
      <c r="A270" s="25">
        <f>IF(YEAR(A269+1)=Dashboard!$B$2,A269+1,"")</f>
        <v>46288</v>
      </c>
      <c r="B270" s="26" t="str">
        <f t="shared" si="20"/>
        <v>septiembre</v>
      </c>
      <c r="C270" s="24"/>
      <c r="D270" s="24"/>
      <c r="E270" s="24"/>
      <c r="F270" s="24"/>
      <c r="G270" s="24"/>
      <c r="H270" s="24"/>
      <c r="I270" s="24"/>
      <c r="J270" s="24"/>
      <c r="K270" s="27">
        <f t="shared" si="21"/>
        <v>0</v>
      </c>
      <c r="L270" s="28">
        <f>IF(A270="","",C270*'Menu Productos'!$F$5+D270*'Menu Productos'!$F$6+E270*'Menu Productos'!$F$7+F270*'Menu Productos'!$F$8+G270*'Menu Productos'!$F$9+H270*'Menu Productos'!$F$10+I270*'Menu Productos'!$F$11+J270*'Menu Productos'!$F$12)</f>
        <v>0</v>
      </c>
      <c r="M270" s="28">
        <f>IF(A270="","",C270*'Menu Productos'!$E$5+D270*'Menu Productos'!$E$6+E270*'Menu Productos'!$E$7+F270*'Menu Productos'!$E$8+G270*'Menu Productos'!$E$9+H270*'Menu Productos'!$E$10+I270*'Menu Productos'!$E$11+J270*'Menu Productos'!$E$12)</f>
        <v>0</v>
      </c>
      <c r="N270" s="29"/>
      <c r="O270" s="28">
        <f t="shared" si="22"/>
        <v>0</v>
      </c>
      <c r="P270" s="29"/>
      <c r="Q270" s="29"/>
      <c r="R270" s="29"/>
      <c r="S270" s="28">
        <f t="shared" si="23"/>
        <v>0</v>
      </c>
      <c r="T270" s="28">
        <f t="shared" si="24"/>
        <v>0</v>
      </c>
      <c r="U270" s="12"/>
      <c r="V270" s="12" t="str">
        <f ca="1">IF(A270&gt;TODAY(),"FUTURO",IF(AND(K270=0,N270=0,S270=0),"SIN MOVIMIENTO",IF(ABS(T270)&lt;='Metas y Control'!$B$6,"OK","REVISAR CAJA")))</f>
        <v>SIN MOVIMIENTO</v>
      </c>
    </row>
    <row r="271" spans="1:22" x14ac:dyDescent="0.3">
      <c r="A271" s="25">
        <f>IF(YEAR(A270+1)=Dashboard!$B$2,A270+1,"")</f>
        <v>46289</v>
      </c>
      <c r="B271" s="26" t="str">
        <f t="shared" si="20"/>
        <v>septiembre</v>
      </c>
      <c r="C271" s="24"/>
      <c r="D271" s="24"/>
      <c r="E271" s="24"/>
      <c r="F271" s="24"/>
      <c r="G271" s="24"/>
      <c r="H271" s="24"/>
      <c r="I271" s="24"/>
      <c r="J271" s="24"/>
      <c r="K271" s="27">
        <f t="shared" si="21"/>
        <v>0</v>
      </c>
      <c r="L271" s="28">
        <f>IF(A271="","",C271*'Menu Productos'!$F$5+D271*'Menu Productos'!$F$6+E271*'Menu Productos'!$F$7+F271*'Menu Productos'!$F$8+G271*'Menu Productos'!$F$9+H271*'Menu Productos'!$F$10+I271*'Menu Productos'!$F$11+J271*'Menu Productos'!$F$12)</f>
        <v>0</v>
      </c>
      <c r="M271" s="28">
        <f>IF(A271="","",C271*'Menu Productos'!$E$5+D271*'Menu Productos'!$E$6+E271*'Menu Productos'!$E$7+F271*'Menu Productos'!$E$8+G271*'Menu Productos'!$E$9+H271*'Menu Productos'!$E$10+I271*'Menu Productos'!$E$11+J271*'Menu Productos'!$E$12)</f>
        <v>0</v>
      </c>
      <c r="N271" s="29"/>
      <c r="O271" s="28">
        <f t="shared" si="22"/>
        <v>0</v>
      </c>
      <c r="P271" s="29"/>
      <c r="Q271" s="29"/>
      <c r="R271" s="29"/>
      <c r="S271" s="28">
        <f t="shared" si="23"/>
        <v>0</v>
      </c>
      <c r="T271" s="28">
        <f t="shared" si="24"/>
        <v>0</v>
      </c>
      <c r="U271" s="12"/>
      <c r="V271" s="12" t="str">
        <f ca="1">IF(A271&gt;TODAY(),"FUTURO",IF(AND(K271=0,N271=0,S271=0),"SIN MOVIMIENTO",IF(ABS(T271)&lt;='Metas y Control'!$B$6,"OK","REVISAR CAJA")))</f>
        <v>FUTURO</v>
      </c>
    </row>
    <row r="272" spans="1:22" x14ac:dyDescent="0.3">
      <c r="A272" s="25">
        <f>IF(YEAR(A271+1)=Dashboard!$B$2,A271+1,"")</f>
        <v>46290</v>
      </c>
      <c r="B272" s="26" t="str">
        <f t="shared" si="20"/>
        <v>septiembre</v>
      </c>
      <c r="C272" s="24"/>
      <c r="D272" s="24"/>
      <c r="E272" s="24"/>
      <c r="F272" s="24"/>
      <c r="G272" s="24"/>
      <c r="H272" s="24"/>
      <c r="I272" s="24"/>
      <c r="J272" s="24"/>
      <c r="K272" s="27">
        <f t="shared" si="21"/>
        <v>0</v>
      </c>
      <c r="L272" s="28">
        <f>IF(A272="","",C272*'Menu Productos'!$F$5+D272*'Menu Productos'!$F$6+E272*'Menu Productos'!$F$7+F272*'Menu Productos'!$F$8+G272*'Menu Productos'!$F$9+H272*'Menu Productos'!$F$10+I272*'Menu Productos'!$F$11+J272*'Menu Productos'!$F$12)</f>
        <v>0</v>
      </c>
      <c r="M272" s="28">
        <f>IF(A272="","",C272*'Menu Productos'!$E$5+D272*'Menu Productos'!$E$6+E272*'Menu Productos'!$E$7+F272*'Menu Productos'!$E$8+G272*'Menu Productos'!$E$9+H272*'Menu Productos'!$E$10+I272*'Menu Productos'!$E$11+J272*'Menu Productos'!$E$12)</f>
        <v>0</v>
      </c>
      <c r="N272" s="29"/>
      <c r="O272" s="28">
        <f t="shared" si="22"/>
        <v>0</v>
      </c>
      <c r="P272" s="29"/>
      <c r="Q272" s="29"/>
      <c r="R272" s="29"/>
      <c r="S272" s="28">
        <f t="shared" si="23"/>
        <v>0</v>
      </c>
      <c r="T272" s="28">
        <f t="shared" si="24"/>
        <v>0</v>
      </c>
      <c r="U272" s="12"/>
      <c r="V272" s="12" t="str">
        <f ca="1">IF(A272&gt;TODAY(),"FUTURO",IF(AND(K272=0,N272=0,S272=0),"SIN MOVIMIENTO",IF(ABS(T272)&lt;='Metas y Control'!$B$6,"OK","REVISAR CAJA")))</f>
        <v>FUTURO</v>
      </c>
    </row>
    <row r="273" spans="1:22" x14ac:dyDescent="0.3">
      <c r="A273" s="25">
        <f>IF(YEAR(A272+1)=Dashboard!$B$2,A272+1,"")</f>
        <v>46291</v>
      </c>
      <c r="B273" s="26" t="str">
        <f t="shared" si="20"/>
        <v>septiembre</v>
      </c>
      <c r="C273" s="24"/>
      <c r="D273" s="24"/>
      <c r="E273" s="24"/>
      <c r="F273" s="24"/>
      <c r="G273" s="24"/>
      <c r="H273" s="24"/>
      <c r="I273" s="24"/>
      <c r="J273" s="24"/>
      <c r="K273" s="27">
        <f t="shared" si="21"/>
        <v>0</v>
      </c>
      <c r="L273" s="28">
        <f>IF(A273="","",C273*'Menu Productos'!$F$5+D273*'Menu Productos'!$F$6+E273*'Menu Productos'!$F$7+F273*'Menu Productos'!$F$8+G273*'Menu Productos'!$F$9+H273*'Menu Productos'!$F$10+I273*'Menu Productos'!$F$11+J273*'Menu Productos'!$F$12)</f>
        <v>0</v>
      </c>
      <c r="M273" s="28">
        <f>IF(A273="","",C273*'Menu Productos'!$E$5+D273*'Menu Productos'!$E$6+E273*'Menu Productos'!$E$7+F273*'Menu Productos'!$E$8+G273*'Menu Productos'!$E$9+H273*'Menu Productos'!$E$10+I273*'Menu Productos'!$E$11+J273*'Menu Productos'!$E$12)</f>
        <v>0</v>
      </c>
      <c r="N273" s="29"/>
      <c r="O273" s="28">
        <f t="shared" si="22"/>
        <v>0</v>
      </c>
      <c r="P273" s="29"/>
      <c r="Q273" s="29"/>
      <c r="R273" s="29"/>
      <c r="S273" s="28">
        <f t="shared" si="23"/>
        <v>0</v>
      </c>
      <c r="T273" s="28">
        <f t="shared" si="24"/>
        <v>0</v>
      </c>
      <c r="U273" s="12"/>
      <c r="V273" s="12" t="str">
        <f ca="1">IF(A273&gt;TODAY(),"FUTURO",IF(AND(K273=0,N273=0,S273=0),"SIN MOVIMIENTO",IF(ABS(T273)&lt;='Metas y Control'!$B$6,"OK","REVISAR CAJA")))</f>
        <v>FUTURO</v>
      </c>
    </row>
    <row r="274" spans="1:22" x14ac:dyDescent="0.3">
      <c r="A274" s="25">
        <f>IF(YEAR(A273+1)=Dashboard!$B$2,A273+1,"")</f>
        <v>46292</v>
      </c>
      <c r="B274" s="26" t="str">
        <f t="shared" si="20"/>
        <v>septiembre</v>
      </c>
      <c r="C274" s="24"/>
      <c r="D274" s="24"/>
      <c r="E274" s="24"/>
      <c r="F274" s="24"/>
      <c r="G274" s="24"/>
      <c r="H274" s="24"/>
      <c r="I274" s="24"/>
      <c r="J274" s="24"/>
      <c r="K274" s="27">
        <f t="shared" si="21"/>
        <v>0</v>
      </c>
      <c r="L274" s="28">
        <f>IF(A274="","",C274*'Menu Productos'!$F$5+D274*'Menu Productos'!$F$6+E274*'Menu Productos'!$F$7+F274*'Menu Productos'!$F$8+G274*'Menu Productos'!$F$9+H274*'Menu Productos'!$F$10+I274*'Menu Productos'!$F$11+J274*'Menu Productos'!$F$12)</f>
        <v>0</v>
      </c>
      <c r="M274" s="28">
        <f>IF(A274="","",C274*'Menu Productos'!$E$5+D274*'Menu Productos'!$E$6+E274*'Menu Productos'!$E$7+F274*'Menu Productos'!$E$8+G274*'Menu Productos'!$E$9+H274*'Menu Productos'!$E$10+I274*'Menu Productos'!$E$11+J274*'Menu Productos'!$E$12)</f>
        <v>0</v>
      </c>
      <c r="N274" s="29"/>
      <c r="O274" s="28">
        <f t="shared" si="22"/>
        <v>0</v>
      </c>
      <c r="P274" s="29"/>
      <c r="Q274" s="29"/>
      <c r="R274" s="29"/>
      <c r="S274" s="28">
        <f t="shared" si="23"/>
        <v>0</v>
      </c>
      <c r="T274" s="28">
        <f t="shared" si="24"/>
        <v>0</v>
      </c>
      <c r="U274" s="12"/>
      <c r="V274" s="12" t="str">
        <f ca="1">IF(A274&gt;TODAY(),"FUTURO",IF(AND(K274=0,N274=0,S274=0),"SIN MOVIMIENTO",IF(ABS(T274)&lt;='Metas y Control'!$B$6,"OK","REVISAR CAJA")))</f>
        <v>FUTURO</v>
      </c>
    </row>
    <row r="275" spans="1:22" x14ac:dyDescent="0.3">
      <c r="A275" s="25">
        <f>IF(YEAR(A274+1)=Dashboard!$B$2,A274+1,"")</f>
        <v>46293</v>
      </c>
      <c r="B275" s="26" t="str">
        <f t="shared" si="20"/>
        <v>septiembre</v>
      </c>
      <c r="C275" s="24"/>
      <c r="D275" s="24"/>
      <c r="E275" s="24"/>
      <c r="F275" s="24"/>
      <c r="G275" s="24"/>
      <c r="H275" s="24"/>
      <c r="I275" s="24"/>
      <c r="J275" s="24"/>
      <c r="K275" s="27">
        <f t="shared" si="21"/>
        <v>0</v>
      </c>
      <c r="L275" s="28">
        <f>IF(A275="","",C275*'Menu Productos'!$F$5+D275*'Menu Productos'!$F$6+E275*'Menu Productos'!$F$7+F275*'Menu Productos'!$F$8+G275*'Menu Productos'!$F$9+H275*'Menu Productos'!$F$10+I275*'Menu Productos'!$F$11+J275*'Menu Productos'!$F$12)</f>
        <v>0</v>
      </c>
      <c r="M275" s="28">
        <f>IF(A275="","",C275*'Menu Productos'!$E$5+D275*'Menu Productos'!$E$6+E275*'Menu Productos'!$E$7+F275*'Menu Productos'!$E$8+G275*'Menu Productos'!$E$9+H275*'Menu Productos'!$E$10+I275*'Menu Productos'!$E$11+J275*'Menu Productos'!$E$12)</f>
        <v>0</v>
      </c>
      <c r="N275" s="29"/>
      <c r="O275" s="28">
        <f t="shared" si="22"/>
        <v>0</v>
      </c>
      <c r="P275" s="29"/>
      <c r="Q275" s="29"/>
      <c r="R275" s="29"/>
      <c r="S275" s="28">
        <f t="shared" si="23"/>
        <v>0</v>
      </c>
      <c r="T275" s="28">
        <f t="shared" si="24"/>
        <v>0</v>
      </c>
      <c r="U275" s="12"/>
      <c r="V275" s="12" t="str">
        <f ca="1">IF(A275&gt;TODAY(),"FUTURO",IF(AND(K275=0,N275=0,S275=0),"SIN MOVIMIENTO",IF(ABS(T275)&lt;='Metas y Control'!$B$6,"OK","REVISAR CAJA")))</f>
        <v>FUTURO</v>
      </c>
    </row>
    <row r="276" spans="1:22" x14ac:dyDescent="0.3">
      <c r="A276" s="25">
        <f>IF(YEAR(A275+1)=Dashboard!$B$2,A275+1,"")</f>
        <v>46294</v>
      </c>
      <c r="B276" s="26" t="str">
        <f t="shared" si="20"/>
        <v>septiembre</v>
      </c>
      <c r="C276" s="24"/>
      <c r="D276" s="24"/>
      <c r="E276" s="24"/>
      <c r="F276" s="24"/>
      <c r="G276" s="24"/>
      <c r="H276" s="24"/>
      <c r="I276" s="24"/>
      <c r="J276" s="24"/>
      <c r="K276" s="27">
        <f t="shared" si="21"/>
        <v>0</v>
      </c>
      <c r="L276" s="28">
        <f>IF(A276="","",C276*'Menu Productos'!$F$5+D276*'Menu Productos'!$F$6+E276*'Menu Productos'!$F$7+F276*'Menu Productos'!$F$8+G276*'Menu Productos'!$F$9+H276*'Menu Productos'!$F$10+I276*'Menu Productos'!$F$11+J276*'Menu Productos'!$F$12)</f>
        <v>0</v>
      </c>
      <c r="M276" s="28">
        <f>IF(A276="","",C276*'Menu Productos'!$E$5+D276*'Menu Productos'!$E$6+E276*'Menu Productos'!$E$7+F276*'Menu Productos'!$E$8+G276*'Menu Productos'!$E$9+H276*'Menu Productos'!$E$10+I276*'Menu Productos'!$E$11+J276*'Menu Productos'!$E$12)</f>
        <v>0</v>
      </c>
      <c r="N276" s="29"/>
      <c r="O276" s="28">
        <f t="shared" si="22"/>
        <v>0</v>
      </c>
      <c r="P276" s="29"/>
      <c r="Q276" s="29"/>
      <c r="R276" s="29"/>
      <c r="S276" s="28">
        <f t="shared" si="23"/>
        <v>0</v>
      </c>
      <c r="T276" s="28">
        <f t="shared" si="24"/>
        <v>0</v>
      </c>
      <c r="U276" s="12"/>
      <c r="V276" s="12" t="str">
        <f ca="1">IF(A276&gt;TODAY(),"FUTURO",IF(AND(K276=0,N276=0,S276=0),"SIN MOVIMIENTO",IF(ABS(T276)&lt;='Metas y Control'!$B$6,"OK","REVISAR CAJA")))</f>
        <v>FUTURO</v>
      </c>
    </row>
    <row r="277" spans="1:22" x14ac:dyDescent="0.3">
      <c r="A277" s="25">
        <f>IF(YEAR(A276+1)=Dashboard!$B$2,A276+1,"")</f>
        <v>46295</v>
      </c>
      <c r="B277" s="26" t="str">
        <f t="shared" si="20"/>
        <v>septiembre</v>
      </c>
      <c r="C277" s="24"/>
      <c r="D277" s="24"/>
      <c r="E277" s="24"/>
      <c r="F277" s="24"/>
      <c r="G277" s="24"/>
      <c r="H277" s="24"/>
      <c r="I277" s="24"/>
      <c r="J277" s="24"/>
      <c r="K277" s="27">
        <f t="shared" si="21"/>
        <v>0</v>
      </c>
      <c r="L277" s="28">
        <f>IF(A277="","",C277*'Menu Productos'!$F$5+D277*'Menu Productos'!$F$6+E277*'Menu Productos'!$F$7+F277*'Menu Productos'!$F$8+G277*'Menu Productos'!$F$9+H277*'Menu Productos'!$F$10+I277*'Menu Productos'!$F$11+J277*'Menu Productos'!$F$12)</f>
        <v>0</v>
      </c>
      <c r="M277" s="28">
        <f>IF(A277="","",C277*'Menu Productos'!$E$5+D277*'Menu Productos'!$E$6+E277*'Menu Productos'!$E$7+F277*'Menu Productos'!$E$8+G277*'Menu Productos'!$E$9+H277*'Menu Productos'!$E$10+I277*'Menu Productos'!$E$11+J277*'Menu Productos'!$E$12)</f>
        <v>0</v>
      </c>
      <c r="N277" s="29"/>
      <c r="O277" s="28">
        <f t="shared" si="22"/>
        <v>0</v>
      </c>
      <c r="P277" s="29"/>
      <c r="Q277" s="29"/>
      <c r="R277" s="29"/>
      <c r="S277" s="28">
        <f t="shared" si="23"/>
        <v>0</v>
      </c>
      <c r="T277" s="28">
        <f t="shared" si="24"/>
        <v>0</v>
      </c>
      <c r="U277" s="12"/>
      <c r="V277" s="12" t="str">
        <f ca="1">IF(A277&gt;TODAY(),"FUTURO",IF(AND(K277=0,N277=0,S277=0),"SIN MOVIMIENTO",IF(ABS(T277)&lt;='Metas y Control'!$B$6,"OK","REVISAR CAJA")))</f>
        <v>FUTURO</v>
      </c>
    </row>
    <row r="278" spans="1:22" x14ac:dyDescent="0.3">
      <c r="A278" s="25">
        <f>IF(YEAR(A277+1)=Dashboard!$B$2,A277+1,"")</f>
        <v>46296</v>
      </c>
      <c r="B278" s="26" t="str">
        <f t="shared" si="20"/>
        <v>octubre</v>
      </c>
      <c r="C278" s="24"/>
      <c r="D278" s="24"/>
      <c r="E278" s="24"/>
      <c r="F278" s="24"/>
      <c r="G278" s="24"/>
      <c r="H278" s="24"/>
      <c r="I278" s="24"/>
      <c r="J278" s="24"/>
      <c r="K278" s="27">
        <f t="shared" si="21"/>
        <v>0</v>
      </c>
      <c r="L278" s="28">
        <f>IF(A278="","",C278*'Menu Productos'!$F$5+D278*'Menu Productos'!$F$6+E278*'Menu Productos'!$F$7+F278*'Menu Productos'!$F$8+G278*'Menu Productos'!$F$9+H278*'Menu Productos'!$F$10+I278*'Menu Productos'!$F$11+J278*'Menu Productos'!$F$12)</f>
        <v>0</v>
      </c>
      <c r="M278" s="28">
        <f>IF(A278="","",C278*'Menu Productos'!$E$5+D278*'Menu Productos'!$E$6+E278*'Menu Productos'!$E$7+F278*'Menu Productos'!$E$8+G278*'Menu Productos'!$E$9+H278*'Menu Productos'!$E$10+I278*'Menu Productos'!$E$11+J278*'Menu Productos'!$E$12)</f>
        <v>0</v>
      </c>
      <c r="N278" s="29"/>
      <c r="O278" s="28">
        <f t="shared" si="22"/>
        <v>0</v>
      </c>
      <c r="P278" s="29"/>
      <c r="Q278" s="29"/>
      <c r="R278" s="29"/>
      <c r="S278" s="28">
        <f t="shared" si="23"/>
        <v>0</v>
      </c>
      <c r="T278" s="28">
        <f t="shared" si="24"/>
        <v>0</v>
      </c>
      <c r="U278" s="12"/>
      <c r="V278" s="12" t="str">
        <f ca="1">IF(A278&gt;TODAY(),"FUTURO",IF(AND(K278=0,N278=0,S278=0),"SIN MOVIMIENTO",IF(ABS(T278)&lt;='Metas y Control'!$B$6,"OK","REVISAR CAJA")))</f>
        <v>FUTURO</v>
      </c>
    </row>
    <row r="279" spans="1:22" x14ac:dyDescent="0.3">
      <c r="A279" s="25">
        <f>IF(YEAR(A278+1)=Dashboard!$B$2,A278+1,"")</f>
        <v>46297</v>
      </c>
      <c r="B279" s="26" t="str">
        <f t="shared" si="20"/>
        <v>octubre</v>
      </c>
      <c r="C279" s="24"/>
      <c r="D279" s="24"/>
      <c r="E279" s="24"/>
      <c r="F279" s="24"/>
      <c r="G279" s="24"/>
      <c r="H279" s="24"/>
      <c r="I279" s="24"/>
      <c r="J279" s="24"/>
      <c r="K279" s="27">
        <f t="shared" si="21"/>
        <v>0</v>
      </c>
      <c r="L279" s="28">
        <f>IF(A279="","",C279*'Menu Productos'!$F$5+D279*'Menu Productos'!$F$6+E279*'Menu Productos'!$F$7+F279*'Menu Productos'!$F$8+G279*'Menu Productos'!$F$9+H279*'Menu Productos'!$F$10+I279*'Menu Productos'!$F$11+J279*'Menu Productos'!$F$12)</f>
        <v>0</v>
      </c>
      <c r="M279" s="28">
        <f>IF(A279="","",C279*'Menu Productos'!$E$5+D279*'Menu Productos'!$E$6+E279*'Menu Productos'!$E$7+F279*'Menu Productos'!$E$8+G279*'Menu Productos'!$E$9+H279*'Menu Productos'!$E$10+I279*'Menu Productos'!$E$11+J279*'Menu Productos'!$E$12)</f>
        <v>0</v>
      </c>
      <c r="N279" s="29"/>
      <c r="O279" s="28">
        <f t="shared" si="22"/>
        <v>0</v>
      </c>
      <c r="P279" s="29"/>
      <c r="Q279" s="29"/>
      <c r="R279" s="29"/>
      <c r="S279" s="28">
        <f t="shared" si="23"/>
        <v>0</v>
      </c>
      <c r="T279" s="28">
        <f t="shared" si="24"/>
        <v>0</v>
      </c>
      <c r="U279" s="12"/>
      <c r="V279" s="12" t="str">
        <f ca="1">IF(A279&gt;TODAY(),"FUTURO",IF(AND(K279=0,N279=0,S279=0),"SIN MOVIMIENTO",IF(ABS(T279)&lt;='Metas y Control'!$B$6,"OK","REVISAR CAJA")))</f>
        <v>FUTURO</v>
      </c>
    </row>
    <row r="280" spans="1:22" x14ac:dyDescent="0.3">
      <c r="A280" s="25">
        <f>IF(YEAR(A279+1)=Dashboard!$B$2,A279+1,"")</f>
        <v>46298</v>
      </c>
      <c r="B280" s="26" t="str">
        <f t="shared" si="20"/>
        <v>octubre</v>
      </c>
      <c r="C280" s="24"/>
      <c r="D280" s="24"/>
      <c r="E280" s="24"/>
      <c r="F280" s="24"/>
      <c r="G280" s="24"/>
      <c r="H280" s="24"/>
      <c r="I280" s="24"/>
      <c r="J280" s="24"/>
      <c r="K280" s="27">
        <f t="shared" si="21"/>
        <v>0</v>
      </c>
      <c r="L280" s="28">
        <f>IF(A280="","",C280*'Menu Productos'!$F$5+D280*'Menu Productos'!$F$6+E280*'Menu Productos'!$F$7+F280*'Menu Productos'!$F$8+G280*'Menu Productos'!$F$9+H280*'Menu Productos'!$F$10+I280*'Menu Productos'!$F$11+J280*'Menu Productos'!$F$12)</f>
        <v>0</v>
      </c>
      <c r="M280" s="28">
        <f>IF(A280="","",C280*'Menu Productos'!$E$5+D280*'Menu Productos'!$E$6+E280*'Menu Productos'!$E$7+F280*'Menu Productos'!$E$8+G280*'Menu Productos'!$E$9+H280*'Menu Productos'!$E$10+I280*'Menu Productos'!$E$11+J280*'Menu Productos'!$E$12)</f>
        <v>0</v>
      </c>
      <c r="N280" s="29"/>
      <c r="O280" s="28">
        <f t="shared" si="22"/>
        <v>0</v>
      </c>
      <c r="P280" s="29"/>
      <c r="Q280" s="29"/>
      <c r="R280" s="29"/>
      <c r="S280" s="28">
        <f t="shared" si="23"/>
        <v>0</v>
      </c>
      <c r="T280" s="28">
        <f t="shared" si="24"/>
        <v>0</v>
      </c>
      <c r="U280" s="12"/>
      <c r="V280" s="12" t="str">
        <f ca="1">IF(A280&gt;TODAY(),"FUTURO",IF(AND(K280=0,N280=0,S280=0),"SIN MOVIMIENTO",IF(ABS(T280)&lt;='Metas y Control'!$B$6,"OK","REVISAR CAJA")))</f>
        <v>FUTURO</v>
      </c>
    </row>
    <row r="281" spans="1:22" x14ac:dyDescent="0.3">
      <c r="A281" s="25">
        <f>IF(YEAR(A280+1)=Dashboard!$B$2,A280+1,"")</f>
        <v>46299</v>
      </c>
      <c r="B281" s="26" t="str">
        <f t="shared" si="20"/>
        <v>octubre</v>
      </c>
      <c r="C281" s="24"/>
      <c r="D281" s="24"/>
      <c r="E281" s="24"/>
      <c r="F281" s="24"/>
      <c r="G281" s="24"/>
      <c r="H281" s="24"/>
      <c r="I281" s="24"/>
      <c r="J281" s="24"/>
      <c r="K281" s="27">
        <f t="shared" si="21"/>
        <v>0</v>
      </c>
      <c r="L281" s="28">
        <f>IF(A281="","",C281*'Menu Productos'!$F$5+D281*'Menu Productos'!$F$6+E281*'Menu Productos'!$F$7+F281*'Menu Productos'!$F$8+G281*'Menu Productos'!$F$9+H281*'Menu Productos'!$F$10+I281*'Menu Productos'!$F$11+J281*'Menu Productos'!$F$12)</f>
        <v>0</v>
      </c>
      <c r="M281" s="28">
        <f>IF(A281="","",C281*'Menu Productos'!$E$5+D281*'Menu Productos'!$E$6+E281*'Menu Productos'!$E$7+F281*'Menu Productos'!$E$8+G281*'Menu Productos'!$E$9+H281*'Menu Productos'!$E$10+I281*'Menu Productos'!$E$11+J281*'Menu Productos'!$E$12)</f>
        <v>0</v>
      </c>
      <c r="N281" s="29"/>
      <c r="O281" s="28">
        <f t="shared" si="22"/>
        <v>0</v>
      </c>
      <c r="P281" s="29"/>
      <c r="Q281" s="29"/>
      <c r="R281" s="29"/>
      <c r="S281" s="28">
        <f t="shared" si="23"/>
        <v>0</v>
      </c>
      <c r="T281" s="28">
        <f t="shared" si="24"/>
        <v>0</v>
      </c>
      <c r="U281" s="12"/>
      <c r="V281" s="12" t="str">
        <f ca="1">IF(A281&gt;TODAY(),"FUTURO",IF(AND(K281=0,N281=0,S281=0),"SIN MOVIMIENTO",IF(ABS(T281)&lt;='Metas y Control'!$B$6,"OK","REVISAR CAJA")))</f>
        <v>FUTURO</v>
      </c>
    </row>
    <row r="282" spans="1:22" x14ac:dyDescent="0.3">
      <c r="A282" s="25">
        <f>IF(YEAR(A281+1)=Dashboard!$B$2,A281+1,"")</f>
        <v>46300</v>
      </c>
      <c r="B282" s="26" t="str">
        <f t="shared" si="20"/>
        <v>octubre</v>
      </c>
      <c r="C282" s="24"/>
      <c r="D282" s="24"/>
      <c r="E282" s="24"/>
      <c r="F282" s="24"/>
      <c r="G282" s="24"/>
      <c r="H282" s="24"/>
      <c r="I282" s="24"/>
      <c r="J282" s="24"/>
      <c r="K282" s="27">
        <f t="shared" si="21"/>
        <v>0</v>
      </c>
      <c r="L282" s="28">
        <f>IF(A282="","",C282*'Menu Productos'!$F$5+D282*'Menu Productos'!$F$6+E282*'Menu Productos'!$F$7+F282*'Menu Productos'!$F$8+G282*'Menu Productos'!$F$9+H282*'Menu Productos'!$F$10+I282*'Menu Productos'!$F$11+J282*'Menu Productos'!$F$12)</f>
        <v>0</v>
      </c>
      <c r="M282" s="28">
        <f>IF(A282="","",C282*'Menu Productos'!$E$5+D282*'Menu Productos'!$E$6+E282*'Menu Productos'!$E$7+F282*'Menu Productos'!$E$8+G282*'Menu Productos'!$E$9+H282*'Menu Productos'!$E$10+I282*'Menu Productos'!$E$11+J282*'Menu Productos'!$E$12)</f>
        <v>0</v>
      </c>
      <c r="N282" s="29"/>
      <c r="O282" s="28">
        <f t="shared" si="22"/>
        <v>0</v>
      </c>
      <c r="P282" s="29"/>
      <c r="Q282" s="29"/>
      <c r="R282" s="29"/>
      <c r="S282" s="28">
        <f t="shared" si="23"/>
        <v>0</v>
      </c>
      <c r="T282" s="28">
        <f t="shared" si="24"/>
        <v>0</v>
      </c>
      <c r="U282" s="12"/>
      <c r="V282" s="12" t="str">
        <f ca="1">IF(A282&gt;TODAY(),"FUTURO",IF(AND(K282=0,N282=0,S282=0),"SIN MOVIMIENTO",IF(ABS(T282)&lt;='Metas y Control'!$B$6,"OK","REVISAR CAJA")))</f>
        <v>FUTURO</v>
      </c>
    </row>
    <row r="283" spans="1:22" x14ac:dyDescent="0.3">
      <c r="A283" s="25">
        <f>IF(YEAR(A282+1)=Dashboard!$B$2,A282+1,"")</f>
        <v>46301</v>
      </c>
      <c r="B283" s="26" t="str">
        <f t="shared" si="20"/>
        <v>octubre</v>
      </c>
      <c r="C283" s="24"/>
      <c r="D283" s="24"/>
      <c r="E283" s="24"/>
      <c r="F283" s="24"/>
      <c r="G283" s="24"/>
      <c r="H283" s="24"/>
      <c r="I283" s="24"/>
      <c r="J283" s="24"/>
      <c r="K283" s="27">
        <f t="shared" si="21"/>
        <v>0</v>
      </c>
      <c r="L283" s="28">
        <f>IF(A283="","",C283*'Menu Productos'!$F$5+D283*'Menu Productos'!$F$6+E283*'Menu Productos'!$F$7+F283*'Menu Productos'!$F$8+G283*'Menu Productos'!$F$9+H283*'Menu Productos'!$F$10+I283*'Menu Productos'!$F$11+J283*'Menu Productos'!$F$12)</f>
        <v>0</v>
      </c>
      <c r="M283" s="28">
        <f>IF(A283="","",C283*'Menu Productos'!$E$5+D283*'Menu Productos'!$E$6+E283*'Menu Productos'!$E$7+F283*'Menu Productos'!$E$8+G283*'Menu Productos'!$E$9+H283*'Menu Productos'!$E$10+I283*'Menu Productos'!$E$11+J283*'Menu Productos'!$E$12)</f>
        <v>0</v>
      </c>
      <c r="N283" s="29"/>
      <c r="O283" s="28">
        <f t="shared" si="22"/>
        <v>0</v>
      </c>
      <c r="P283" s="29"/>
      <c r="Q283" s="29"/>
      <c r="R283" s="29"/>
      <c r="S283" s="28">
        <f t="shared" si="23"/>
        <v>0</v>
      </c>
      <c r="T283" s="28">
        <f t="shared" si="24"/>
        <v>0</v>
      </c>
      <c r="U283" s="12"/>
      <c r="V283" s="12" t="str">
        <f ca="1">IF(A283&gt;TODAY(),"FUTURO",IF(AND(K283=0,N283=0,S283=0),"SIN MOVIMIENTO",IF(ABS(T283)&lt;='Metas y Control'!$B$6,"OK","REVISAR CAJA")))</f>
        <v>FUTURO</v>
      </c>
    </row>
    <row r="284" spans="1:22" x14ac:dyDescent="0.3">
      <c r="A284" s="25">
        <f>IF(YEAR(A283+1)=Dashboard!$B$2,A283+1,"")</f>
        <v>46302</v>
      </c>
      <c r="B284" s="26" t="str">
        <f t="shared" si="20"/>
        <v>octubre</v>
      </c>
      <c r="C284" s="24"/>
      <c r="D284" s="24"/>
      <c r="E284" s="24"/>
      <c r="F284" s="24"/>
      <c r="G284" s="24"/>
      <c r="H284" s="24"/>
      <c r="I284" s="24"/>
      <c r="J284" s="24"/>
      <c r="K284" s="27">
        <f t="shared" si="21"/>
        <v>0</v>
      </c>
      <c r="L284" s="28">
        <f>IF(A284="","",C284*'Menu Productos'!$F$5+D284*'Menu Productos'!$F$6+E284*'Menu Productos'!$F$7+F284*'Menu Productos'!$F$8+G284*'Menu Productos'!$F$9+H284*'Menu Productos'!$F$10+I284*'Menu Productos'!$F$11+J284*'Menu Productos'!$F$12)</f>
        <v>0</v>
      </c>
      <c r="M284" s="28">
        <f>IF(A284="","",C284*'Menu Productos'!$E$5+D284*'Menu Productos'!$E$6+E284*'Menu Productos'!$E$7+F284*'Menu Productos'!$E$8+G284*'Menu Productos'!$E$9+H284*'Menu Productos'!$E$10+I284*'Menu Productos'!$E$11+J284*'Menu Productos'!$E$12)</f>
        <v>0</v>
      </c>
      <c r="N284" s="29"/>
      <c r="O284" s="28">
        <f t="shared" si="22"/>
        <v>0</v>
      </c>
      <c r="P284" s="29"/>
      <c r="Q284" s="29"/>
      <c r="R284" s="29"/>
      <c r="S284" s="28">
        <f t="shared" si="23"/>
        <v>0</v>
      </c>
      <c r="T284" s="28">
        <f t="shared" si="24"/>
        <v>0</v>
      </c>
      <c r="U284" s="12"/>
      <c r="V284" s="12" t="str">
        <f ca="1">IF(A284&gt;TODAY(),"FUTURO",IF(AND(K284=0,N284=0,S284=0),"SIN MOVIMIENTO",IF(ABS(T284)&lt;='Metas y Control'!$B$6,"OK","REVISAR CAJA")))</f>
        <v>FUTURO</v>
      </c>
    </row>
    <row r="285" spans="1:22" x14ac:dyDescent="0.3">
      <c r="A285" s="25">
        <f>IF(YEAR(A284+1)=Dashboard!$B$2,A284+1,"")</f>
        <v>46303</v>
      </c>
      <c r="B285" s="26" t="str">
        <f t="shared" si="20"/>
        <v>octubre</v>
      </c>
      <c r="C285" s="24"/>
      <c r="D285" s="24"/>
      <c r="E285" s="24"/>
      <c r="F285" s="24"/>
      <c r="G285" s="24"/>
      <c r="H285" s="24"/>
      <c r="I285" s="24"/>
      <c r="J285" s="24"/>
      <c r="K285" s="27">
        <f t="shared" si="21"/>
        <v>0</v>
      </c>
      <c r="L285" s="28">
        <f>IF(A285="","",C285*'Menu Productos'!$F$5+D285*'Menu Productos'!$F$6+E285*'Menu Productos'!$F$7+F285*'Menu Productos'!$F$8+G285*'Menu Productos'!$F$9+H285*'Menu Productos'!$F$10+I285*'Menu Productos'!$F$11+J285*'Menu Productos'!$F$12)</f>
        <v>0</v>
      </c>
      <c r="M285" s="28">
        <f>IF(A285="","",C285*'Menu Productos'!$E$5+D285*'Menu Productos'!$E$6+E285*'Menu Productos'!$E$7+F285*'Menu Productos'!$E$8+G285*'Menu Productos'!$E$9+H285*'Menu Productos'!$E$10+I285*'Menu Productos'!$E$11+J285*'Menu Productos'!$E$12)</f>
        <v>0</v>
      </c>
      <c r="N285" s="29"/>
      <c r="O285" s="28">
        <f t="shared" si="22"/>
        <v>0</v>
      </c>
      <c r="P285" s="29"/>
      <c r="Q285" s="29"/>
      <c r="R285" s="29"/>
      <c r="S285" s="28">
        <f t="shared" si="23"/>
        <v>0</v>
      </c>
      <c r="T285" s="28">
        <f t="shared" si="24"/>
        <v>0</v>
      </c>
      <c r="U285" s="12"/>
      <c r="V285" s="12" t="str">
        <f ca="1">IF(A285&gt;TODAY(),"FUTURO",IF(AND(K285=0,N285=0,S285=0),"SIN MOVIMIENTO",IF(ABS(T285)&lt;='Metas y Control'!$B$6,"OK","REVISAR CAJA")))</f>
        <v>FUTURO</v>
      </c>
    </row>
    <row r="286" spans="1:22" x14ac:dyDescent="0.3">
      <c r="A286" s="25">
        <f>IF(YEAR(A285+1)=Dashboard!$B$2,A285+1,"")</f>
        <v>46304</v>
      </c>
      <c r="B286" s="26" t="str">
        <f t="shared" si="20"/>
        <v>octubre</v>
      </c>
      <c r="C286" s="24"/>
      <c r="D286" s="24"/>
      <c r="E286" s="24"/>
      <c r="F286" s="24"/>
      <c r="G286" s="24"/>
      <c r="H286" s="24"/>
      <c r="I286" s="24"/>
      <c r="J286" s="24"/>
      <c r="K286" s="27">
        <f t="shared" si="21"/>
        <v>0</v>
      </c>
      <c r="L286" s="28">
        <f>IF(A286="","",C286*'Menu Productos'!$F$5+D286*'Menu Productos'!$F$6+E286*'Menu Productos'!$F$7+F286*'Menu Productos'!$F$8+G286*'Menu Productos'!$F$9+H286*'Menu Productos'!$F$10+I286*'Menu Productos'!$F$11+J286*'Menu Productos'!$F$12)</f>
        <v>0</v>
      </c>
      <c r="M286" s="28">
        <f>IF(A286="","",C286*'Menu Productos'!$E$5+D286*'Menu Productos'!$E$6+E286*'Menu Productos'!$E$7+F286*'Menu Productos'!$E$8+G286*'Menu Productos'!$E$9+H286*'Menu Productos'!$E$10+I286*'Menu Productos'!$E$11+J286*'Menu Productos'!$E$12)</f>
        <v>0</v>
      </c>
      <c r="N286" s="29"/>
      <c r="O286" s="28">
        <f t="shared" si="22"/>
        <v>0</v>
      </c>
      <c r="P286" s="29"/>
      <c r="Q286" s="29"/>
      <c r="R286" s="29"/>
      <c r="S286" s="28">
        <f t="shared" si="23"/>
        <v>0</v>
      </c>
      <c r="T286" s="28">
        <f t="shared" si="24"/>
        <v>0</v>
      </c>
      <c r="U286" s="12"/>
      <c r="V286" s="12" t="str">
        <f ca="1">IF(A286&gt;TODAY(),"FUTURO",IF(AND(K286=0,N286=0,S286=0),"SIN MOVIMIENTO",IF(ABS(T286)&lt;='Metas y Control'!$B$6,"OK","REVISAR CAJA")))</f>
        <v>FUTURO</v>
      </c>
    </row>
    <row r="287" spans="1:22" x14ac:dyDescent="0.3">
      <c r="A287" s="25">
        <f>IF(YEAR(A286+1)=Dashboard!$B$2,A286+1,"")</f>
        <v>46305</v>
      </c>
      <c r="B287" s="26" t="str">
        <f t="shared" si="20"/>
        <v>octubre</v>
      </c>
      <c r="C287" s="24"/>
      <c r="D287" s="24"/>
      <c r="E287" s="24"/>
      <c r="F287" s="24"/>
      <c r="G287" s="24"/>
      <c r="H287" s="24"/>
      <c r="I287" s="24"/>
      <c r="J287" s="24"/>
      <c r="K287" s="27">
        <f t="shared" si="21"/>
        <v>0</v>
      </c>
      <c r="L287" s="28">
        <f>IF(A287="","",C287*'Menu Productos'!$F$5+D287*'Menu Productos'!$F$6+E287*'Menu Productos'!$F$7+F287*'Menu Productos'!$F$8+G287*'Menu Productos'!$F$9+H287*'Menu Productos'!$F$10+I287*'Menu Productos'!$F$11+J287*'Menu Productos'!$F$12)</f>
        <v>0</v>
      </c>
      <c r="M287" s="28">
        <f>IF(A287="","",C287*'Menu Productos'!$E$5+D287*'Menu Productos'!$E$6+E287*'Menu Productos'!$E$7+F287*'Menu Productos'!$E$8+G287*'Menu Productos'!$E$9+H287*'Menu Productos'!$E$10+I287*'Menu Productos'!$E$11+J287*'Menu Productos'!$E$12)</f>
        <v>0</v>
      </c>
      <c r="N287" s="29"/>
      <c r="O287" s="28">
        <f t="shared" si="22"/>
        <v>0</v>
      </c>
      <c r="P287" s="29"/>
      <c r="Q287" s="29"/>
      <c r="R287" s="29"/>
      <c r="S287" s="28">
        <f t="shared" si="23"/>
        <v>0</v>
      </c>
      <c r="T287" s="28">
        <f t="shared" si="24"/>
        <v>0</v>
      </c>
      <c r="U287" s="12"/>
      <c r="V287" s="12" t="str">
        <f ca="1">IF(A287&gt;TODAY(),"FUTURO",IF(AND(K287=0,N287=0,S287=0),"SIN MOVIMIENTO",IF(ABS(T287)&lt;='Metas y Control'!$B$6,"OK","REVISAR CAJA")))</f>
        <v>FUTURO</v>
      </c>
    </row>
    <row r="288" spans="1:22" x14ac:dyDescent="0.3">
      <c r="A288" s="25">
        <f>IF(YEAR(A287+1)=Dashboard!$B$2,A287+1,"")</f>
        <v>46306</v>
      </c>
      <c r="B288" s="26" t="str">
        <f t="shared" si="20"/>
        <v>octubre</v>
      </c>
      <c r="C288" s="24"/>
      <c r="D288" s="24"/>
      <c r="E288" s="24"/>
      <c r="F288" s="24"/>
      <c r="G288" s="24"/>
      <c r="H288" s="24"/>
      <c r="I288" s="24"/>
      <c r="J288" s="24"/>
      <c r="K288" s="27">
        <f t="shared" si="21"/>
        <v>0</v>
      </c>
      <c r="L288" s="28">
        <f>IF(A288="","",C288*'Menu Productos'!$F$5+D288*'Menu Productos'!$F$6+E288*'Menu Productos'!$F$7+F288*'Menu Productos'!$F$8+G288*'Menu Productos'!$F$9+H288*'Menu Productos'!$F$10+I288*'Menu Productos'!$F$11+J288*'Menu Productos'!$F$12)</f>
        <v>0</v>
      </c>
      <c r="M288" s="28">
        <f>IF(A288="","",C288*'Menu Productos'!$E$5+D288*'Menu Productos'!$E$6+E288*'Menu Productos'!$E$7+F288*'Menu Productos'!$E$8+G288*'Menu Productos'!$E$9+H288*'Menu Productos'!$E$10+I288*'Menu Productos'!$E$11+J288*'Menu Productos'!$E$12)</f>
        <v>0</v>
      </c>
      <c r="N288" s="29"/>
      <c r="O288" s="28">
        <f t="shared" si="22"/>
        <v>0</v>
      </c>
      <c r="P288" s="29"/>
      <c r="Q288" s="29"/>
      <c r="R288" s="29"/>
      <c r="S288" s="28">
        <f t="shared" si="23"/>
        <v>0</v>
      </c>
      <c r="T288" s="28">
        <f t="shared" si="24"/>
        <v>0</v>
      </c>
      <c r="U288" s="12"/>
      <c r="V288" s="12" t="str">
        <f ca="1">IF(A288&gt;TODAY(),"FUTURO",IF(AND(K288=0,N288=0,S288=0),"SIN MOVIMIENTO",IF(ABS(T288)&lt;='Metas y Control'!$B$6,"OK","REVISAR CAJA")))</f>
        <v>FUTURO</v>
      </c>
    </row>
    <row r="289" spans="1:22" x14ac:dyDescent="0.3">
      <c r="A289" s="25">
        <f>IF(YEAR(A288+1)=Dashboard!$B$2,A288+1,"")</f>
        <v>46307</v>
      </c>
      <c r="B289" s="26" t="str">
        <f t="shared" si="20"/>
        <v>octubre</v>
      </c>
      <c r="C289" s="24"/>
      <c r="D289" s="24"/>
      <c r="E289" s="24"/>
      <c r="F289" s="24"/>
      <c r="G289" s="24"/>
      <c r="H289" s="24"/>
      <c r="I289" s="24"/>
      <c r="J289" s="24"/>
      <c r="K289" s="27">
        <f t="shared" si="21"/>
        <v>0</v>
      </c>
      <c r="L289" s="28">
        <f>IF(A289="","",C289*'Menu Productos'!$F$5+D289*'Menu Productos'!$F$6+E289*'Menu Productos'!$F$7+F289*'Menu Productos'!$F$8+G289*'Menu Productos'!$F$9+H289*'Menu Productos'!$F$10+I289*'Menu Productos'!$F$11+J289*'Menu Productos'!$F$12)</f>
        <v>0</v>
      </c>
      <c r="M289" s="28">
        <f>IF(A289="","",C289*'Menu Productos'!$E$5+D289*'Menu Productos'!$E$6+E289*'Menu Productos'!$E$7+F289*'Menu Productos'!$E$8+G289*'Menu Productos'!$E$9+H289*'Menu Productos'!$E$10+I289*'Menu Productos'!$E$11+J289*'Menu Productos'!$E$12)</f>
        <v>0</v>
      </c>
      <c r="N289" s="29"/>
      <c r="O289" s="28">
        <f t="shared" si="22"/>
        <v>0</v>
      </c>
      <c r="P289" s="29"/>
      <c r="Q289" s="29"/>
      <c r="R289" s="29"/>
      <c r="S289" s="28">
        <f t="shared" si="23"/>
        <v>0</v>
      </c>
      <c r="T289" s="28">
        <f t="shared" si="24"/>
        <v>0</v>
      </c>
      <c r="U289" s="12"/>
      <c r="V289" s="12" t="str">
        <f ca="1">IF(A289&gt;TODAY(),"FUTURO",IF(AND(K289=0,N289=0,S289=0),"SIN MOVIMIENTO",IF(ABS(T289)&lt;='Metas y Control'!$B$6,"OK","REVISAR CAJA")))</f>
        <v>FUTURO</v>
      </c>
    </row>
    <row r="290" spans="1:22" x14ac:dyDescent="0.3">
      <c r="A290" s="25">
        <f>IF(YEAR(A289+1)=Dashboard!$B$2,A289+1,"")</f>
        <v>46308</v>
      </c>
      <c r="B290" s="26" t="str">
        <f t="shared" si="20"/>
        <v>octubre</v>
      </c>
      <c r="C290" s="24"/>
      <c r="D290" s="24"/>
      <c r="E290" s="24"/>
      <c r="F290" s="24"/>
      <c r="G290" s="24"/>
      <c r="H290" s="24"/>
      <c r="I290" s="24"/>
      <c r="J290" s="24"/>
      <c r="K290" s="27">
        <f t="shared" si="21"/>
        <v>0</v>
      </c>
      <c r="L290" s="28">
        <f>IF(A290="","",C290*'Menu Productos'!$F$5+D290*'Menu Productos'!$F$6+E290*'Menu Productos'!$F$7+F290*'Menu Productos'!$F$8+G290*'Menu Productos'!$F$9+H290*'Menu Productos'!$F$10+I290*'Menu Productos'!$F$11+J290*'Menu Productos'!$F$12)</f>
        <v>0</v>
      </c>
      <c r="M290" s="28">
        <f>IF(A290="","",C290*'Menu Productos'!$E$5+D290*'Menu Productos'!$E$6+E290*'Menu Productos'!$E$7+F290*'Menu Productos'!$E$8+G290*'Menu Productos'!$E$9+H290*'Menu Productos'!$E$10+I290*'Menu Productos'!$E$11+J290*'Menu Productos'!$E$12)</f>
        <v>0</v>
      </c>
      <c r="N290" s="29"/>
      <c r="O290" s="28">
        <f t="shared" si="22"/>
        <v>0</v>
      </c>
      <c r="P290" s="29"/>
      <c r="Q290" s="29"/>
      <c r="R290" s="29"/>
      <c r="S290" s="28">
        <f t="shared" si="23"/>
        <v>0</v>
      </c>
      <c r="T290" s="28">
        <f t="shared" si="24"/>
        <v>0</v>
      </c>
      <c r="U290" s="12"/>
      <c r="V290" s="12" t="str">
        <f ca="1">IF(A290&gt;TODAY(),"FUTURO",IF(AND(K290=0,N290=0,S290=0),"SIN MOVIMIENTO",IF(ABS(T290)&lt;='Metas y Control'!$B$6,"OK","REVISAR CAJA")))</f>
        <v>FUTURO</v>
      </c>
    </row>
    <row r="291" spans="1:22" x14ac:dyDescent="0.3">
      <c r="A291" s="25">
        <f>IF(YEAR(A290+1)=Dashboard!$B$2,A290+1,"")</f>
        <v>46309</v>
      </c>
      <c r="B291" s="26" t="str">
        <f t="shared" si="20"/>
        <v>octubre</v>
      </c>
      <c r="C291" s="24"/>
      <c r="D291" s="24"/>
      <c r="E291" s="24"/>
      <c r="F291" s="24"/>
      <c r="G291" s="24"/>
      <c r="H291" s="24"/>
      <c r="I291" s="24"/>
      <c r="J291" s="24"/>
      <c r="K291" s="27">
        <f t="shared" si="21"/>
        <v>0</v>
      </c>
      <c r="L291" s="28">
        <f>IF(A291="","",C291*'Menu Productos'!$F$5+D291*'Menu Productos'!$F$6+E291*'Menu Productos'!$F$7+F291*'Menu Productos'!$F$8+G291*'Menu Productos'!$F$9+H291*'Menu Productos'!$F$10+I291*'Menu Productos'!$F$11+J291*'Menu Productos'!$F$12)</f>
        <v>0</v>
      </c>
      <c r="M291" s="28">
        <f>IF(A291="","",C291*'Menu Productos'!$E$5+D291*'Menu Productos'!$E$6+E291*'Menu Productos'!$E$7+F291*'Menu Productos'!$E$8+G291*'Menu Productos'!$E$9+H291*'Menu Productos'!$E$10+I291*'Menu Productos'!$E$11+J291*'Menu Productos'!$E$12)</f>
        <v>0</v>
      </c>
      <c r="N291" s="29"/>
      <c r="O291" s="28">
        <f t="shared" si="22"/>
        <v>0</v>
      </c>
      <c r="P291" s="29"/>
      <c r="Q291" s="29"/>
      <c r="R291" s="29"/>
      <c r="S291" s="28">
        <f t="shared" si="23"/>
        <v>0</v>
      </c>
      <c r="T291" s="28">
        <f t="shared" si="24"/>
        <v>0</v>
      </c>
      <c r="U291" s="12"/>
      <c r="V291" s="12" t="str">
        <f ca="1">IF(A291&gt;TODAY(),"FUTURO",IF(AND(K291=0,N291=0,S291=0),"SIN MOVIMIENTO",IF(ABS(T291)&lt;='Metas y Control'!$B$6,"OK","REVISAR CAJA")))</f>
        <v>FUTURO</v>
      </c>
    </row>
    <row r="292" spans="1:22" x14ac:dyDescent="0.3">
      <c r="A292" s="25">
        <f>IF(YEAR(A291+1)=Dashboard!$B$2,A291+1,"")</f>
        <v>46310</v>
      </c>
      <c r="B292" s="26" t="str">
        <f t="shared" si="20"/>
        <v>octubre</v>
      </c>
      <c r="C292" s="24"/>
      <c r="D292" s="24"/>
      <c r="E292" s="24"/>
      <c r="F292" s="24"/>
      <c r="G292" s="24"/>
      <c r="H292" s="24"/>
      <c r="I292" s="24"/>
      <c r="J292" s="24"/>
      <c r="K292" s="27">
        <f t="shared" si="21"/>
        <v>0</v>
      </c>
      <c r="L292" s="28">
        <f>IF(A292="","",C292*'Menu Productos'!$F$5+D292*'Menu Productos'!$F$6+E292*'Menu Productos'!$F$7+F292*'Menu Productos'!$F$8+G292*'Menu Productos'!$F$9+H292*'Menu Productos'!$F$10+I292*'Menu Productos'!$F$11+J292*'Menu Productos'!$F$12)</f>
        <v>0</v>
      </c>
      <c r="M292" s="28">
        <f>IF(A292="","",C292*'Menu Productos'!$E$5+D292*'Menu Productos'!$E$6+E292*'Menu Productos'!$E$7+F292*'Menu Productos'!$E$8+G292*'Menu Productos'!$E$9+H292*'Menu Productos'!$E$10+I292*'Menu Productos'!$E$11+J292*'Menu Productos'!$E$12)</f>
        <v>0</v>
      </c>
      <c r="N292" s="29"/>
      <c r="O292" s="28">
        <f t="shared" si="22"/>
        <v>0</v>
      </c>
      <c r="P292" s="29"/>
      <c r="Q292" s="29"/>
      <c r="R292" s="29"/>
      <c r="S292" s="28">
        <f t="shared" si="23"/>
        <v>0</v>
      </c>
      <c r="T292" s="28">
        <f t="shared" si="24"/>
        <v>0</v>
      </c>
      <c r="U292" s="12"/>
      <c r="V292" s="12" t="str">
        <f ca="1">IF(A292&gt;TODAY(),"FUTURO",IF(AND(K292=0,N292=0,S292=0),"SIN MOVIMIENTO",IF(ABS(T292)&lt;='Metas y Control'!$B$6,"OK","REVISAR CAJA")))</f>
        <v>FUTURO</v>
      </c>
    </row>
    <row r="293" spans="1:22" x14ac:dyDescent="0.3">
      <c r="A293" s="25">
        <f>IF(YEAR(A292+1)=Dashboard!$B$2,A292+1,"")</f>
        <v>46311</v>
      </c>
      <c r="B293" s="26" t="str">
        <f t="shared" si="20"/>
        <v>octubre</v>
      </c>
      <c r="C293" s="24"/>
      <c r="D293" s="24"/>
      <c r="E293" s="24"/>
      <c r="F293" s="24"/>
      <c r="G293" s="24"/>
      <c r="H293" s="24"/>
      <c r="I293" s="24"/>
      <c r="J293" s="24"/>
      <c r="K293" s="27">
        <f t="shared" si="21"/>
        <v>0</v>
      </c>
      <c r="L293" s="28">
        <f>IF(A293="","",C293*'Menu Productos'!$F$5+D293*'Menu Productos'!$F$6+E293*'Menu Productos'!$F$7+F293*'Menu Productos'!$F$8+G293*'Menu Productos'!$F$9+H293*'Menu Productos'!$F$10+I293*'Menu Productos'!$F$11+J293*'Menu Productos'!$F$12)</f>
        <v>0</v>
      </c>
      <c r="M293" s="28">
        <f>IF(A293="","",C293*'Menu Productos'!$E$5+D293*'Menu Productos'!$E$6+E293*'Menu Productos'!$E$7+F293*'Menu Productos'!$E$8+G293*'Menu Productos'!$E$9+H293*'Menu Productos'!$E$10+I293*'Menu Productos'!$E$11+J293*'Menu Productos'!$E$12)</f>
        <v>0</v>
      </c>
      <c r="N293" s="29"/>
      <c r="O293" s="28">
        <f t="shared" si="22"/>
        <v>0</v>
      </c>
      <c r="P293" s="29"/>
      <c r="Q293" s="29"/>
      <c r="R293" s="29"/>
      <c r="S293" s="28">
        <f t="shared" si="23"/>
        <v>0</v>
      </c>
      <c r="T293" s="28">
        <f t="shared" si="24"/>
        <v>0</v>
      </c>
      <c r="U293" s="12"/>
      <c r="V293" s="12" t="str">
        <f ca="1">IF(A293&gt;TODAY(),"FUTURO",IF(AND(K293=0,N293=0,S293=0),"SIN MOVIMIENTO",IF(ABS(T293)&lt;='Metas y Control'!$B$6,"OK","REVISAR CAJA")))</f>
        <v>FUTURO</v>
      </c>
    </row>
    <row r="294" spans="1:22" x14ac:dyDescent="0.3">
      <c r="A294" s="25">
        <f>IF(YEAR(A293+1)=Dashboard!$B$2,A293+1,"")</f>
        <v>46312</v>
      </c>
      <c r="B294" s="26" t="str">
        <f t="shared" si="20"/>
        <v>octubre</v>
      </c>
      <c r="C294" s="24"/>
      <c r="D294" s="24"/>
      <c r="E294" s="24"/>
      <c r="F294" s="24"/>
      <c r="G294" s="24"/>
      <c r="H294" s="24"/>
      <c r="I294" s="24"/>
      <c r="J294" s="24"/>
      <c r="K294" s="27">
        <f t="shared" si="21"/>
        <v>0</v>
      </c>
      <c r="L294" s="28">
        <f>IF(A294="","",C294*'Menu Productos'!$F$5+D294*'Menu Productos'!$F$6+E294*'Menu Productos'!$F$7+F294*'Menu Productos'!$F$8+G294*'Menu Productos'!$F$9+H294*'Menu Productos'!$F$10+I294*'Menu Productos'!$F$11+J294*'Menu Productos'!$F$12)</f>
        <v>0</v>
      </c>
      <c r="M294" s="28">
        <f>IF(A294="","",C294*'Menu Productos'!$E$5+D294*'Menu Productos'!$E$6+E294*'Menu Productos'!$E$7+F294*'Menu Productos'!$E$8+G294*'Menu Productos'!$E$9+H294*'Menu Productos'!$E$10+I294*'Menu Productos'!$E$11+J294*'Menu Productos'!$E$12)</f>
        <v>0</v>
      </c>
      <c r="N294" s="29"/>
      <c r="O294" s="28">
        <f t="shared" si="22"/>
        <v>0</v>
      </c>
      <c r="P294" s="29"/>
      <c r="Q294" s="29"/>
      <c r="R294" s="29"/>
      <c r="S294" s="28">
        <f t="shared" si="23"/>
        <v>0</v>
      </c>
      <c r="T294" s="28">
        <f t="shared" si="24"/>
        <v>0</v>
      </c>
      <c r="U294" s="12"/>
      <c r="V294" s="12" t="str">
        <f ca="1">IF(A294&gt;TODAY(),"FUTURO",IF(AND(K294=0,N294=0,S294=0),"SIN MOVIMIENTO",IF(ABS(T294)&lt;='Metas y Control'!$B$6,"OK","REVISAR CAJA")))</f>
        <v>FUTURO</v>
      </c>
    </row>
    <row r="295" spans="1:22" x14ac:dyDescent="0.3">
      <c r="A295" s="25">
        <f>IF(YEAR(A294+1)=Dashboard!$B$2,A294+1,"")</f>
        <v>46313</v>
      </c>
      <c r="B295" s="26" t="str">
        <f t="shared" si="20"/>
        <v>octubre</v>
      </c>
      <c r="C295" s="24"/>
      <c r="D295" s="24"/>
      <c r="E295" s="24"/>
      <c r="F295" s="24"/>
      <c r="G295" s="24"/>
      <c r="H295" s="24"/>
      <c r="I295" s="24"/>
      <c r="J295" s="24"/>
      <c r="K295" s="27">
        <f t="shared" si="21"/>
        <v>0</v>
      </c>
      <c r="L295" s="28">
        <f>IF(A295="","",C295*'Menu Productos'!$F$5+D295*'Menu Productos'!$F$6+E295*'Menu Productos'!$F$7+F295*'Menu Productos'!$F$8+G295*'Menu Productos'!$F$9+H295*'Menu Productos'!$F$10+I295*'Menu Productos'!$F$11+J295*'Menu Productos'!$F$12)</f>
        <v>0</v>
      </c>
      <c r="M295" s="28">
        <f>IF(A295="","",C295*'Menu Productos'!$E$5+D295*'Menu Productos'!$E$6+E295*'Menu Productos'!$E$7+F295*'Menu Productos'!$E$8+G295*'Menu Productos'!$E$9+H295*'Menu Productos'!$E$10+I295*'Menu Productos'!$E$11+J295*'Menu Productos'!$E$12)</f>
        <v>0</v>
      </c>
      <c r="N295" s="29"/>
      <c r="O295" s="28">
        <f t="shared" si="22"/>
        <v>0</v>
      </c>
      <c r="P295" s="29"/>
      <c r="Q295" s="29"/>
      <c r="R295" s="29"/>
      <c r="S295" s="28">
        <f t="shared" si="23"/>
        <v>0</v>
      </c>
      <c r="T295" s="28">
        <f t="shared" si="24"/>
        <v>0</v>
      </c>
      <c r="U295" s="12"/>
      <c r="V295" s="12" t="str">
        <f ca="1">IF(A295&gt;TODAY(),"FUTURO",IF(AND(K295=0,N295=0,S295=0),"SIN MOVIMIENTO",IF(ABS(T295)&lt;='Metas y Control'!$B$6,"OK","REVISAR CAJA")))</f>
        <v>FUTURO</v>
      </c>
    </row>
    <row r="296" spans="1:22" x14ac:dyDescent="0.3">
      <c r="A296" s="25">
        <f>IF(YEAR(A295+1)=Dashboard!$B$2,A295+1,"")</f>
        <v>46314</v>
      </c>
      <c r="B296" s="26" t="str">
        <f t="shared" si="20"/>
        <v>octubre</v>
      </c>
      <c r="C296" s="24"/>
      <c r="D296" s="24"/>
      <c r="E296" s="24"/>
      <c r="F296" s="24"/>
      <c r="G296" s="24"/>
      <c r="H296" s="24"/>
      <c r="I296" s="24"/>
      <c r="J296" s="24"/>
      <c r="K296" s="27">
        <f t="shared" si="21"/>
        <v>0</v>
      </c>
      <c r="L296" s="28">
        <f>IF(A296="","",C296*'Menu Productos'!$F$5+D296*'Menu Productos'!$F$6+E296*'Menu Productos'!$F$7+F296*'Menu Productos'!$F$8+G296*'Menu Productos'!$F$9+H296*'Menu Productos'!$F$10+I296*'Menu Productos'!$F$11+J296*'Menu Productos'!$F$12)</f>
        <v>0</v>
      </c>
      <c r="M296" s="28">
        <f>IF(A296="","",C296*'Menu Productos'!$E$5+D296*'Menu Productos'!$E$6+E296*'Menu Productos'!$E$7+F296*'Menu Productos'!$E$8+G296*'Menu Productos'!$E$9+H296*'Menu Productos'!$E$10+I296*'Menu Productos'!$E$11+J296*'Menu Productos'!$E$12)</f>
        <v>0</v>
      </c>
      <c r="N296" s="29"/>
      <c r="O296" s="28">
        <f t="shared" si="22"/>
        <v>0</v>
      </c>
      <c r="P296" s="29"/>
      <c r="Q296" s="29"/>
      <c r="R296" s="29"/>
      <c r="S296" s="28">
        <f t="shared" si="23"/>
        <v>0</v>
      </c>
      <c r="T296" s="28">
        <f t="shared" si="24"/>
        <v>0</v>
      </c>
      <c r="U296" s="12"/>
      <c r="V296" s="12" t="str">
        <f ca="1">IF(A296&gt;TODAY(),"FUTURO",IF(AND(K296=0,N296=0,S296=0),"SIN MOVIMIENTO",IF(ABS(T296)&lt;='Metas y Control'!$B$6,"OK","REVISAR CAJA")))</f>
        <v>FUTURO</v>
      </c>
    </row>
    <row r="297" spans="1:22" x14ac:dyDescent="0.3">
      <c r="A297" s="25">
        <f>IF(YEAR(A296+1)=Dashboard!$B$2,A296+1,"")</f>
        <v>46315</v>
      </c>
      <c r="B297" s="26" t="str">
        <f t="shared" si="20"/>
        <v>octubre</v>
      </c>
      <c r="C297" s="24"/>
      <c r="D297" s="24"/>
      <c r="E297" s="24"/>
      <c r="F297" s="24"/>
      <c r="G297" s="24"/>
      <c r="H297" s="24"/>
      <c r="I297" s="24"/>
      <c r="J297" s="24"/>
      <c r="K297" s="27">
        <f t="shared" si="21"/>
        <v>0</v>
      </c>
      <c r="L297" s="28">
        <f>IF(A297="","",C297*'Menu Productos'!$F$5+D297*'Menu Productos'!$F$6+E297*'Menu Productos'!$F$7+F297*'Menu Productos'!$F$8+G297*'Menu Productos'!$F$9+H297*'Menu Productos'!$F$10+I297*'Menu Productos'!$F$11+J297*'Menu Productos'!$F$12)</f>
        <v>0</v>
      </c>
      <c r="M297" s="28">
        <f>IF(A297="","",C297*'Menu Productos'!$E$5+D297*'Menu Productos'!$E$6+E297*'Menu Productos'!$E$7+F297*'Menu Productos'!$E$8+G297*'Menu Productos'!$E$9+H297*'Menu Productos'!$E$10+I297*'Menu Productos'!$E$11+J297*'Menu Productos'!$E$12)</f>
        <v>0</v>
      </c>
      <c r="N297" s="29"/>
      <c r="O297" s="28">
        <f t="shared" si="22"/>
        <v>0</v>
      </c>
      <c r="P297" s="29"/>
      <c r="Q297" s="29"/>
      <c r="R297" s="29"/>
      <c r="S297" s="28">
        <f t="shared" si="23"/>
        <v>0</v>
      </c>
      <c r="T297" s="28">
        <f t="shared" si="24"/>
        <v>0</v>
      </c>
      <c r="U297" s="12"/>
      <c r="V297" s="12" t="str">
        <f ca="1">IF(A297&gt;TODAY(),"FUTURO",IF(AND(K297=0,N297=0,S297=0),"SIN MOVIMIENTO",IF(ABS(T297)&lt;='Metas y Control'!$B$6,"OK","REVISAR CAJA")))</f>
        <v>FUTURO</v>
      </c>
    </row>
    <row r="298" spans="1:22" x14ac:dyDescent="0.3">
      <c r="A298" s="25">
        <f>IF(YEAR(A297+1)=Dashboard!$B$2,A297+1,"")</f>
        <v>46316</v>
      </c>
      <c r="B298" s="26" t="str">
        <f t="shared" si="20"/>
        <v>octubre</v>
      </c>
      <c r="C298" s="24"/>
      <c r="D298" s="24"/>
      <c r="E298" s="24"/>
      <c r="F298" s="24"/>
      <c r="G298" s="24"/>
      <c r="H298" s="24"/>
      <c r="I298" s="24"/>
      <c r="J298" s="24"/>
      <c r="K298" s="27">
        <f t="shared" si="21"/>
        <v>0</v>
      </c>
      <c r="L298" s="28">
        <f>IF(A298="","",C298*'Menu Productos'!$F$5+D298*'Menu Productos'!$F$6+E298*'Menu Productos'!$F$7+F298*'Menu Productos'!$F$8+G298*'Menu Productos'!$F$9+H298*'Menu Productos'!$F$10+I298*'Menu Productos'!$F$11+J298*'Menu Productos'!$F$12)</f>
        <v>0</v>
      </c>
      <c r="M298" s="28">
        <f>IF(A298="","",C298*'Menu Productos'!$E$5+D298*'Menu Productos'!$E$6+E298*'Menu Productos'!$E$7+F298*'Menu Productos'!$E$8+G298*'Menu Productos'!$E$9+H298*'Menu Productos'!$E$10+I298*'Menu Productos'!$E$11+J298*'Menu Productos'!$E$12)</f>
        <v>0</v>
      </c>
      <c r="N298" s="29"/>
      <c r="O298" s="28">
        <f t="shared" si="22"/>
        <v>0</v>
      </c>
      <c r="P298" s="29"/>
      <c r="Q298" s="29"/>
      <c r="R298" s="29"/>
      <c r="S298" s="28">
        <f t="shared" si="23"/>
        <v>0</v>
      </c>
      <c r="T298" s="28">
        <f t="shared" si="24"/>
        <v>0</v>
      </c>
      <c r="U298" s="12"/>
      <c r="V298" s="12" t="str">
        <f ca="1">IF(A298&gt;TODAY(),"FUTURO",IF(AND(K298=0,N298=0,S298=0),"SIN MOVIMIENTO",IF(ABS(T298)&lt;='Metas y Control'!$B$6,"OK","REVISAR CAJA")))</f>
        <v>FUTURO</v>
      </c>
    </row>
    <row r="299" spans="1:22" x14ac:dyDescent="0.3">
      <c r="A299" s="25">
        <f>IF(YEAR(A298+1)=Dashboard!$B$2,A298+1,"")</f>
        <v>46317</v>
      </c>
      <c r="B299" s="26" t="str">
        <f t="shared" si="20"/>
        <v>octubre</v>
      </c>
      <c r="C299" s="24"/>
      <c r="D299" s="24"/>
      <c r="E299" s="24"/>
      <c r="F299" s="24"/>
      <c r="G299" s="24"/>
      <c r="H299" s="24"/>
      <c r="I299" s="24"/>
      <c r="J299" s="24"/>
      <c r="K299" s="27">
        <f t="shared" si="21"/>
        <v>0</v>
      </c>
      <c r="L299" s="28">
        <f>IF(A299="","",C299*'Menu Productos'!$F$5+D299*'Menu Productos'!$F$6+E299*'Menu Productos'!$F$7+F299*'Menu Productos'!$F$8+G299*'Menu Productos'!$F$9+H299*'Menu Productos'!$F$10+I299*'Menu Productos'!$F$11+J299*'Menu Productos'!$F$12)</f>
        <v>0</v>
      </c>
      <c r="M299" s="28">
        <f>IF(A299="","",C299*'Menu Productos'!$E$5+D299*'Menu Productos'!$E$6+E299*'Menu Productos'!$E$7+F299*'Menu Productos'!$E$8+G299*'Menu Productos'!$E$9+H299*'Menu Productos'!$E$10+I299*'Menu Productos'!$E$11+J299*'Menu Productos'!$E$12)</f>
        <v>0</v>
      </c>
      <c r="N299" s="29"/>
      <c r="O299" s="28">
        <f t="shared" si="22"/>
        <v>0</v>
      </c>
      <c r="P299" s="29"/>
      <c r="Q299" s="29"/>
      <c r="R299" s="29"/>
      <c r="S299" s="28">
        <f t="shared" si="23"/>
        <v>0</v>
      </c>
      <c r="T299" s="28">
        <f t="shared" si="24"/>
        <v>0</v>
      </c>
      <c r="U299" s="12"/>
      <c r="V299" s="12" t="str">
        <f ca="1">IF(A299&gt;TODAY(),"FUTURO",IF(AND(K299=0,N299=0,S299=0),"SIN MOVIMIENTO",IF(ABS(T299)&lt;='Metas y Control'!$B$6,"OK","REVISAR CAJA")))</f>
        <v>FUTURO</v>
      </c>
    </row>
    <row r="300" spans="1:22" x14ac:dyDescent="0.3">
      <c r="A300" s="25">
        <f>IF(YEAR(A299+1)=Dashboard!$B$2,A299+1,"")</f>
        <v>46318</v>
      </c>
      <c r="B300" s="26" t="str">
        <f t="shared" si="20"/>
        <v>octubre</v>
      </c>
      <c r="C300" s="24"/>
      <c r="D300" s="24"/>
      <c r="E300" s="24"/>
      <c r="F300" s="24"/>
      <c r="G300" s="24"/>
      <c r="H300" s="24"/>
      <c r="I300" s="24"/>
      <c r="J300" s="24"/>
      <c r="K300" s="27">
        <f t="shared" si="21"/>
        <v>0</v>
      </c>
      <c r="L300" s="28">
        <f>IF(A300="","",C300*'Menu Productos'!$F$5+D300*'Menu Productos'!$F$6+E300*'Menu Productos'!$F$7+F300*'Menu Productos'!$F$8+G300*'Menu Productos'!$F$9+H300*'Menu Productos'!$F$10+I300*'Menu Productos'!$F$11+J300*'Menu Productos'!$F$12)</f>
        <v>0</v>
      </c>
      <c r="M300" s="28">
        <f>IF(A300="","",C300*'Menu Productos'!$E$5+D300*'Menu Productos'!$E$6+E300*'Menu Productos'!$E$7+F300*'Menu Productos'!$E$8+G300*'Menu Productos'!$E$9+H300*'Menu Productos'!$E$10+I300*'Menu Productos'!$E$11+J300*'Menu Productos'!$E$12)</f>
        <v>0</v>
      </c>
      <c r="N300" s="29"/>
      <c r="O300" s="28">
        <f t="shared" si="22"/>
        <v>0</v>
      </c>
      <c r="P300" s="29"/>
      <c r="Q300" s="29"/>
      <c r="R300" s="29"/>
      <c r="S300" s="28">
        <f t="shared" si="23"/>
        <v>0</v>
      </c>
      <c r="T300" s="28">
        <f t="shared" si="24"/>
        <v>0</v>
      </c>
      <c r="U300" s="12"/>
      <c r="V300" s="12" t="str">
        <f ca="1">IF(A300&gt;TODAY(),"FUTURO",IF(AND(K300=0,N300=0,S300=0),"SIN MOVIMIENTO",IF(ABS(T300)&lt;='Metas y Control'!$B$6,"OK","REVISAR CAJA")))</f>
        <v>FUTURO</v>
      </c>
    </row>
    <row r="301" spans="1:22" x14ac:dyDescent="0.3">
      <c r="A301" s="25">
        <f>IF(YEAR(A300+1)=Dashboard!$B$2,A300+1,"")</f>
        <v>46319</v>
      </c>
      <c r="B301" s="26" t="str">
        <f t="shared" si="20"/>
        <v>octubre</v>
      </c>
      <c r="C301" s="24"/>
      <c r="D301" s="24"/>
      <c r="E301" s="24"/>
      <c r="F301" s="24"/>
      <c r="G301" s="24"/>
      <c r="H301" s="24"/>
      <c r="I301" s="24"/>
      <c r="J301" s="24"/>
      <c r="K301" s="27">
        <f t="shared" si="21"/>
        <v>0</v>
      </c>
      <c r="L301" s="28">
        <f>IF(A301="","",C301*'Menu Productos'!$F$5+D301*'Menu Productos'!$F$6+E301*'Menu Productos'!$F$7+F301*'Menu Productos'!$F$8+G301*'Menu Productos'!$F$9+H301*'Menu Productos'!$F$10+I301*'Menu Productos'!$F$11+J301*'Menu Productos'!$F$12)</f>
        <v>0</v>
      </c>
      <c r="M301" s="28">
        <f>IF(A301="","",C301*'Menu Productos'!$E$5+D301*'Menu Productos'!$E$6+E301*'Menu Productos'!$E$7+F301*'Menu Productos'!$E$8+G301*'Menu Productos'!$E$9+H301*'Menu Productos'!$E$10+I301*'Menu Productos'!$E$11+J301*'Menu Productos'!$E$12)</f>
        <v>0</v>
      </c>
      <c r="N301" s="29"/>
      <c r="O301" s="28">
        <f t="shared" si="22"/>
        <v>0</v>
      </c>
      <c r="P301" s="29"/>
      <c r="Q301" s="29"/>
      <c r="R301" s="29"/>
      <c r="S301" s="28">
        <f t="shared" si="23"/>
        <v>0</v>
      </c>
      <c r="T301" s="28">
        <f t="shared" si="24"/>
        <v>0</v>
      </c>
      <c r="U301" s="12"/>
      <c r="V301" s="12" t="str">
        <f ca="1">IF(A301&gt;TODAY(),"FUTURO",IF(AND(K301=0,N301=0,S301=0),"SIN MOVIMIENTO",IF(ABS(T301)&lt;='Metas y Control'!$B$6,"OK","REVISAR CAJA")))</f>
        <v>FUTURO</v>
      </c>
    </row>
    <row r="302" spans="1:22" x14ac:dyDescent="0.3">
      <c r="A302" s="25">
        <f>IF(YEAR(A301+1)=Dashboard!$B$2,A301+1,"")</f>
        <v>46320</v>
      </c>
      <c r="B302" s="26" t="str">
        <f t="shared" si="20"/>
        <v>octubre</v>
      </c>
      <c r="C302" s="24"/>
      <c r="D302" s="24"/>
      <c r="E302" s="24"/>
      <c r="F302" s="24"/>
      <c r="G302" s="24"/>
      <c r="H302" s="24"/>
      <c r="I302" s="24"/>
      <c r="J302" s="24"/>
      <c r="K302" s="27">
        <f t="shared" si="21"/>
        <v>0</v>
      </c>
      <c r="L302" s="28">
        <f>IF(A302="","",C302*'Menu Productos'!$F$5+D302*'Menu Productos'!$F$6+E302*'Menu Productos'!$F$7+F302*'Menu Productos'!$F$8+G302*'Menu Productos'!$F$9+H302*'Menu Productos'!$F$10+I302*'Menu Productos'!$F$11+J302*'Menu Productos'!$F$12)</f>
        <v>0</v>
      </c>
      <c r="M302" s="28">
        <f>IF(A302="","",C302*'Menu Productos'!$E$5+D302*'Menu Productos'!$E$6+E302*'Menu Productos'!$E$7+F302*'Menu Productos'!$E$8+G302*'Menu Productos'!$E$9+H302*'Menu Productos'!$E$10+I302*'Menu Productos'!$E$11+J302*'Menu Productos'!$E$12)</f>
        <v>0</v>
      </c>
      <c r="N302" s="29"/>
      <c r="O302" s="28">
        <f t="shared" si="22"/>
        <v>0</v>
      </c>
      <c r="P302" s="29"/>
      <c r="Q302" s="29"/>
      <c r="R302" s="29"/>
      <c r="S302" s="28">
        <f t="shared" si="23"/>
        <v>0</v>
      </c>
      <c r="T302" s="28">
        <f t="shared" si="24"/>
        <v>0</v>
      </c>
      <c r="U302" s="12"/>
      <c r="V302" s="12" t="str">
        <f ca="1">IF(A302&gt;TODAY(),"FUTURO",IF(AND(K302=0,N302=0,S302=0),"SIN MOVIMIENTO",IF(ABS(T302)&lt;='Metas y Control'!$B$6,"OK","REVISAR CAJA")))</f>
        <v>FUTURO</v>
      </c>
    </row>
    <row r="303" spans="1:22" x14ac:dyDescent="0.3">
      <c r="A303" s="25">
        <f>IF(YEAR(A302+1)=Dashboard!$B$2,A302+1,"")</f>
        <v>46321</v>
      </c>
      <c r="B303" s="26" t="str">
        <f t="shared" si="20"/>
        <v>octubre</v>
      </c>
      <c r="C303" s="24"/>
      <c r="D303" s="24"/>
      <c r="E303" s="24"/>
      <c r="F303" s="24"/>
      <c r="G303" s="24"/>
      <c r="H303" s="24"/>
      <c r="I303" s="24"/>
      <c r="J303" s="24"/>
      <c r="K303" s="27">
        <f t="shared" si="21"/>
        <v>0</v>
      </c>
      <c r="L303" s="28">
        <f>IF(A303="","",C303*'Menu Productos'!$F$5+D303*'Menu Productos'!$F$6+E303*'Menu Productos'!$F$7+F303*'Menu Productos'!$F$8+G303*'Menu Productos'!$F$9+H303*'Menu Productos'!$F$10+I303*'Menu Productos'!$F$11+J303*'Menu Productos'!$F$12)</f>
        <v>0</v>
      </c>
      <c r="M303" s="28">
        <f>IF(A303="","",C303*'Menu Productos'!$E$5+D303*'Menu Productos'!$E$6+E303*'Menu Productos'!$E$7+F303*'Menu Productos'!$E$8+G303*'Menu Productos'!$E$9+H303*'Menu Productos'!$E$10+I303*'Menu Productos'!$E$11+J303*'Menu Productos'!$E$12)</f>
        <v>0</v>
      </c>
      <c r="N303" s="29"/>
      <c r="O303" s="28">
        <f t="shared" si="22"/>
        <v>0</v>
      </c>
      <c r="P303" s="29"/>
      <c r="Q303" s="29"/>
      <c r="R303" s="29"/>
      <c r="S303" s="28">
        <f t="shared" si="23"/>
        <v>0</v>
      </c>
      <c r="T303" s="28">
        <f t="shared" si="24"/>
        <v>0</v>
      </c>
      <c r="U303" s="12"/>
      <c r="V303" s="12" t="str">
        <f ca="1">IF(A303&gt;TODAY(),"FUTURO",IF(AND(K303=0,N303=0,S303=0),"SIN MOVIMIENTO",IF(ABS(T303)&lt;='Metas y Control'!$B$6,"OK","REVISAR CAJA")))</f>
        <v>FUTURO</v>
      </c>
    </row>
    <row r="304" spans="1:22" x14ac:dyDescent="0.3">
      <c r="A304" s="25">
        <f>IF(YEAR(A303+1)=Dashboard!$B$2,A303+1,"")</f>
        <v>46322</v>
      </c>
      <c r="B304" s="26" t="str">
        <f t="shared" si="20"/>
        <v>octubre</v>
      </c>
      <c r="C304" s="24"/>
      <c r="D304" s="24"/>
      <c r="E304" s="24"/>
      <c r="F304" s="24"/>
      <c r="G304" s="24"/>
      <c r="H304" s="24"/>
      <c r="I304" s="24"/>
      <c r="J304" s="24"/>
      <c r="K304" s="27">
        <f t="shared" si="21"/>
        <v>0</v>
      </c>
      <c r="L304" s="28">
        <f>IF(A304="","",C304*'Menu Productos'!$F$5+D304*'Menu Productos'!$F$6+E304*'Menu Productos'!$F$7+F304*'Menu Productos'!$F$8+G304*'Menu Productos'!$F$9+H304*'Menu Productos'!$F$10+I304*'Menu Productos'!$F$11+J304*'Menu Productos'!$F$12)</f>
        <v>0</v>
      </c>
      <c r="M304" s="28">
        <f>IF(A304="","",C304*'Menu Productos'!$E$5+D304*'Menu Productos'!$E$6+E304*'Menu Productos'!$E$7+F304*'Menu Productos'!$E$8+G304*'Menu Productos'!$E$9+H304*'Menu Productos'!$E$10+I304*'Menu Productos'!$E$11+J304*'Menu Productos'!$E$12)</f>
        <v>0</v>
      </c>
      <c r="N304" s="29"/>
      <c r="O304" s="28">
        <f t="shared" si="22"/>
        <v>0</v>
      </c>
      <c r="P304" s="29"/>
      <c r="Q304" s="29"/>
      <c r="R304" s="29"/>
      <c r="S304" s="28">
        <f t="shared" si="23"/>
        <v>0</v>
      </c>
      <c r="T304" s="28">
        <f t="shared" si="24"/>
        <v>0</v>
      </c>
      <c r="U304" s="12"/>
      <c r="V304" s="12" t="str">
        <f ca="1">IF(A304&gt;TODAY(),"FUTURO",IF(AND(K304=0,N304=0,S304=0),"SIN MOVIMIENTO",IF(ABS(T304)&lt;='Metas y Control'!$B$6,"OK","REVISAR CAJA")))</f>
        <v>FUTURO</v>
      </c>
    </row>
    <row r="305" spans="1:22" x14ac:dyDescent="0.3">
      <c r="A305" s="25">
        <f>IF(YEAR(A304+1)=Dashboard!$B$2,A304+1,"")</f>
        <v>46323</v>
      </c>
      <c r="B305" s="26" t="str">
        <f t="shared" si="20"/>
        <v>octubre</v>
      </c>
      <c r="C305" s="24"/>
      <c r="D305" s="24"/>
      <c r="E305" s="24"/>
      <c r="F305" s="24"/>
      <c r="G305" s="24"/>
      <c r="H305" s="24"/>
      <c r="I305" s="24"/>
      <c r="J305" s="24"/>
      <c r="K305" s="27">
        <f t="shared" si="21"/>
        <v>0</v>
      </c>
      <c r="L305" s="28">
        <f>IF(A305="","",C305*'Menu Productos'!$F$5+D305*'Menu Productos'!$F$6+E305*'Menu Productos'!$F$7+F305*'Menu Productos'!$F$8+G305*'Menu Productos'!$F$9+H305*'Menu Productos'!$F$10+I305*'Menu Productos'!$F$11+J305*'Menu Productos'!$F$12)</f>
        <v>0</v>
      </c>
      <c r="M305" s="28">
        <f>IF(A305="","",C305*'Menu Productos'!$E$5+D305*'Menu Productos'!$E$6+E305*'Menu Productos'!$E$7+F305*'Menu Productos'!$E$8+G305*'Menu Productos'!$E$9+H305*'Menu Productos'!$E$10+I305*'Menu Productos'!$E$11+J305*'Menu Productos'!$E$12)</f>
        <v>0</v>
      </c>
      <c r="N305" s="29"/>
      <c r="O305" s="28">
        <f t="shared" si="22"/>
        <v>0</v>
      </c>
      <c r="P305" s="29"/>
      <c r="Q305" s="29"/>
      <c r="R305" s="29"/>
      <c r="S305" s="28">
        <f t="shared" si="23"/>
        <v>0</v>
      </c>
      <c r="T305" s="28">
        <f t="shared" si="24"/>
        <v>0</v>
      </c>
      <c r="U305" s="12"/>
      <c r="V305" s="12" t="str">
        <f ca="1">IF(A305&gt;TODAY(),"FUTURO",IF(AND(K305=0,N305=0,S305=0),"SIN MOVIMIENTO",IF(ABS(T305)&lt;='Metas y Control'!$B$6,"OK","REVISAR CAJA")))</f>
        <v>FUTURO</v>
      </c>
    </row>
    <row r="306" spans="1:22" x14ac:dyDescent="0.3">
      <c r="A306" s="25">
        <f>IF(YEAR(A305+1)=Dashboard!$B$2,A305+1,"")</f>
        <v>46324</v>
      </c>
      <c r="B306" s="26" t="str">
        <f t="shared" si="20"/>
        <v>octubre</v>
      </c>
      <c r="C306" s="24"/>
      <c r="D306" s="24"/>
      <c r="E306" s="24"/>
      <c r="F306" s="24"/>
      <c r="G306" s="24"/>
      <c r="H306" s="24"/>
      <c r="I306" s="24"/>
      <c r="J306" s="24"/>
      <c r="K306" s="27">
        <f t="shared" si="21"/>
        <v>0</v>
      </c>
      <c r="L306" s="28">
        <f>IF(A306="","",C306*'Menu Productos'!$F$5+D306*'Menu Productos'!$F$6+E306*'Menu Productos'!$F$7+F306*'Menu Productos'!$F$8+G306*'Menu Productos'!$F$9+H306*'Menu Productos'!$F$10+I306*'Menu Productos'!$F$11+J306*'Menu Productos'!$F$12)</f>
        <v>0</v>
      </c>
      <c r="M306" s="28">
        <f>IF(A306="","",C306*'Menu Productos'!$E$5+D306*'Menu Productos'!$E$6+E306*'Menu Productos'!$E$7+F306*'Menu Productos'!$E$8+G306*'Menu Productos'!$E$9+H306*'Menu Productos'!$E$10+I306*'Menu Productos'!$E$11+J306*'Menu Productos'!$E$12)</f>
        <v>0</v>
      </c>
      <c r="N306" s="29"/>
      <c r="O306" s="28">
        <f t="shared" si="22"/>
        <v>0</v>
      </c>
      <c r="P306" s="29"/>
      <c r="Q306" s="29"/>
      <c r="R306" s="29"/>
      <c r="S306" s="28">
        <f t="shared" si="23"/>
        <v>0</v>
      </c>
      <c r="T306" s="28">
        <f t="shared" si="24"/>
        <v>0</v>
      </c>
      <c r="U306" s="12"/>
      <c r="V306" s="12" t="str">
        <f ca="1">IF(A306&gt;TODAY(),"FUTURO",IF(AND(K306=0,N306=0,S306=0),"SIN MOVIMIENTO",IF(ABS(T306)&lt;='Metas y Control'!$B$6,"OK","REVISAR CAJA")))</f>
        <v>FUTURO</v>
      </c>
    </row>
    <row r="307" spans="1:22" x14ac:dyDescent="0.3">
      <c r="A307" s="25">
        <f>IF(YEAR(A306+1)=Dashboard!$B$2,A306+1,"")</f>
        <v>46325</v>
      </c>
      <c r="B307" s="26" t="str">
        <f t="shared" si="20"/>
        <v>octubre</v>
      </c>
      <c r="C307" s="24"/>
      <c r="D307" s="24"/>
      <c r="E307" s="24"/>
      <c r="F307" s="24"/>
      <c r="G307" s="24"/>
      <c r="H307" s="24"/>
      <c r="I307" s="24"/>
      <c r="J307" s="24"/>
      <c r="K307" s="27">
        <f t="shared" si="21"/>
        <v>0</v>
      </c>
      <c r="L307" s="28">
        <f>IF(A307="","",C307*'Menu Productos'!$F$5+D307*'Menu Productos'!$F$6+E307*'Menu Productos'!$F$7+F307*'Menu Productos'!$F$8+G307*'Menu Productos'!$F$9+H307*'Menu Productos'!$F$10+I307*'Menu Productos'!$F$11+J307*'Menu Productos'!$F$12)</f>
        <v>0</v>
      </c>
      <c r="M307" s="28">
        <f>IF(A307="","",C307*'Menu Productos'!$E$5+D307*'Menu Productos'!$E$6+E307*'Menu Productos'!$E$7+F307*'Menu Productos'!$E$8+G307*'Menu Productos'!$E$9+H307*'Menu Productos'!$E$10+I307*'Menu Productos'!$E$11+J307*'Menu Productos'!$E$12)</f>
        <v>0</v>
      </c>
      <c r="N307" s="29"/>
      <c r="O307" s="28">
        <f t="shared" si="22"/>
        <v>0</v>
      </c>
      <c r="P307" s="29"/>
      <c r="Q307" s="29"/>
      <c r="R307" s="29"/>
      <c r="S307" s="28">
        <f t="shared" si="23"/>
        <v>0</v>
      </c>
      <c r="T307" s="28">
        <f t="shared" si="24"/>
        <v>0</v>
      </c>
      <c r="U307" s="12"/>
      <c r="V307" s="12" t="str">
        <f ca="1">IF(A307&gt;TODAY(),"FUTURO",IF(AND(K307=0,N307=0,S307=0),"SIN MOVIMIENTO",IF(ABS(T307)&lt;='Metas y Control'!$B$6,"OK","REVISAR CAJA")))</f>
        <v>FUTURO</v>
      </c>
    </row>
    <row r="308" spans="1:22" x14ac:dyDescent="0.3">
      <c r="A308" s="25">
        <f>IF(YEAR(A307+1)=Dashboard!$B$2,A307+1,"")</f>
        <v>46326</v>
      </c>
      <c r="B308" s="26" t="str">
        <f t="shared" si="20"/>
        <v>octubre</v>
      </c>
      <c r="C308" s="24"/>
      <c r="D308" s="24"/>
      <c r="E308" s="24"/>
      <c r="F308" s="24"/>
      <c r="G308" s="24"/>
      <c r="H308" s="24"/>
      <c r="I308" s="24"/>
      <c r="J308" s="24"/>
      <c r="K308" s="27">
        <f t="shared" si="21"/>
        <v>0</v>
      </c>
      <c r="L308" s="28">
        <f>IF(A308="","",C308*'Menu Productos'!$F$5+D308*'Menu Productos'!$F$6+E308*'Menu Productos'!$F$7+F308*'Menu Productos'!$F$8+G308*'Menu Productos'!$F$9+H308*'Menu Productos'!$F$10+I308*'Menu Productos'!$F$11+J308*'Menu Productos'!$F$12)</f>
        <v>0</v>
      </c>
      <c r="M308" s="28">
        <f>IF(A308="","",C308*'Menu Productos'!$E$5+D308*'Menu Productos'!$E$6+E308*'Menu Productos'!$E$7+F308*'Menu Productos'!$E$8+G308*'Menu Productos'!$E$9+H308*'Menu Productos'!$E$10+I308*'Menu Productos'!$E$11+J308*'Menu Productos'!$E$12)</f>
        <v>0</v>
      </c>
      <c r="N308" s="29"/>
      <c r="O308" s="28">
        <f t="shared" si="22"/>
        <v>0</v>
      </c>
      <c r="P308" s="29"/>
      <c r="Q308" s="29"/>
      <c r="R308" s="29"/>
      <c r="S308" s="28">
        <f t="shared" si="23"/>
        <v>0</v>
      </c>
      <c r="T308" s="28">
        <f t="shared" si="24"/>
        <v>0</v>
      </c>
      <c r="U308" s="12"/>
      <c r="V308" s="12" t="str">
        <f ca="1">IF(A308&gt;TODAY(),"FUTURO",IF(AND(K308=0,N308=0,S308=0),"SIN MOVIMIENTO",IF(ABS(T308)&lt;='Metas y Control'!$B$6,"OK","REVISAR CAJA")))</f>
        <v>FUTURO</v>
      </c>
    </row>
    <row r="309" spans="1:22" x14ac:dyDescent="0.3">
      <c r="A309" s="25">
        <f>IF(YEAR(A308+1)=Dashboard!$B$2,A308+1,"")</f>
        <v>46327</v>
      </c>
      <c r="B309" s="26" t="str">
        <f t="shared" si="20"/>
        <v>noviembre</v>
      </c>
      <c r="C309" s="24"/>
      <c r="D309" s="24"/>
      <c r="E309" s="24"/>
      <c r="F309" s="24"/>
      <c r="G309" s="24"/>
      <c r="H309" s="24"/>
      <c r="I309" s="24"/>
      <c r="J309" s="24"/>
      <c r="K309" s="27">
        <f t="shared" si="21"/>
        <v>0</v>
      </c>
      <c r="L309" s="28">
        <f>IF(A309="","",C309*'Menu Productos'!$F$5+D309*'Menu Productos'!$F$6+E309*'Menu Productos'!$F$7+F309*'Menu Productos'!$F$8+G309*'Menu Productos'!$F$9+H309*'Menu Productos'!$F$10+I309*'Menu Productos'!$F$11+J309*'Menu Productos'!$F$12)</f>
        <v>0</v>
      </c>
      <c r="M309" s="28">
        <f>IF(A309="","",C309*'Menu Productos'!$E$5+D309*'Menu Productos'!$E$6+E309*'Menu Productos'!$E$7+F309*'Menu Productos'!$E$8+G309*'Menu Productos'!$E$9+H309*'Menu Productos'!$E$10+I309*'Menu Productos'!$E$11+J309*'Menu Productos'!$E$12)</f>
        <v>0</v>
      </c>
      <c r="N309" s="29"/>
      <c r="O309" s="28">
        <f t="shared" si="22"/>
        <v>0</v>
      </c>
      <c r="P309" s="29"/>
      <c r="Q309" s="29"/>
      <c r="R309" s="29"/>
      <c r="S309" s="28">
        <f t="shared" si="23"/>
        <v>0</v>
      </c>
      <c r="T309" s="28">
        <f t="shared" si="24"/>
        <v>0</v>
      </c>
      <c r="U309" s="12"/>
      <c r="V309" s="12" t="str">
        <f ca="1">IF(A309&gt;TODAY(),"FUTURO",IF(AND(K309=0,N309=0,S309=0),"SIN MOVIMIENTO",IF(ABS(T309)&lt;='Metas y Control'!$B$6,"OK","REVISAR CAJA")))</f>
        <v>FUTURO</v>
      </c>
    </row>
    <row r="310" spans="1:22" x14ac:dyDescent="0.3">
      <c r="A310" s="25">
        <f>IF(YEAR(A309+1)=Dashboard!$B$2,A309+1,"")</f>
        <v>46328</v>
      </c>
      <c r="B310" s="26" t="str">
        <f t="shared" si="20"/>
        <v>noviembre</v>
      </c>
      <c r="C310" s="24"/>
      <c r="D310" s="24"/>
      <c r="E310" s="24"/>
      <c r="F310" s="24"/>
      <c r="G310" s="24"/>
      <c r="H310" s="24"/>
      <c r="I310" s="24"/>
      <c r="J310" s="24"/>
      <c r="K310" s="27">
        <f t="shared" si="21"/>
        <v>0</v>
      </c>
      <c r="L310" s="28">
        <f>IF(A310="","",C310*'Menu Productos'!$F$5+D310*'Menu Productos'!$F$6+E310*'Menu Productos'!$F$7+F310*'Menu Productos'!$F$8+G310*'Menu Productos'!$F$9+H310*'Menu Productos'!$F$10+I310*'Menu Productos'!$F$11+J310*'Menu Productos'!$F$12)</f>
        <v>0</v>
      </c>
      <c r="M310" s="28">
        <f>IF(A310="","",C310*'Menu Productos'!$E$5+D310*'Menu Productos'!$E$6+E310*'Menu Productos'!$E$7+F310*'Menu Productos'!$E$8+G310*'Menu Productos'!$E$9+H310*'Menu Productos'!$E$10+I310*'Menu Productos'!$E$11+J310*'Menu Productos'!$E$12)</f>
        <v>0</v>
      </c>
      <c r="N310" s="29"/>
      <c r="O310" s="28">
        <f t="shared" si="22"/>
        <v>0</v>
      </c>
      <c r="P310" s="29"/>
      <c r="Q310" s="29"/>
      <c r="R310" s="29"/>
      <c r="S310" s="28">
        <f t="shared" si="23"/>
        <v>0</v>
      </c>
      <c r="T310" s="28">
        <f t="shared" si="24"/>
        <v>0</v>
      </c>
      <c r="U310" s="12"/>
      <c r="V310" s="12" t="str">
        <f ca="1">IF(A310&gt;TODAY(),"FUTURO",IF(AND(K310=0,N310=0,S310=0),"SIN MOVIMIENTO",IF(ABS(T310)&lt;='Metas y Control'!$B$6,"OK","REVISAR CAJA")))</f>
        <v>FUTURO</v>
      </c>
    </row>
    <row r="311" spans="1:22" x14ac:dyDescent="0.3">
      <c r="A311" s="25">
        <f>IF(YEAR(A310+1)=Dashboard!$B$2,A310+1,"")</f>
        <v>46329</v>
      </c>
      <c r="B311" s="26" t="str">
        <f t="shared" si="20"/>
        <v>noviembre</v>
      </c>
      <c r="C311" s="24"/>
      <c r="D311" s="24"/>
      <c r="E311" s="24"/>
      <c r="F311" s="24"/>
      <c r="G311" s="24"/>
      <c r="H311" s="24"/>
      <c r="I311" s="24"/>
      <c r="J311" s="24"/>
      <c r="K311" s="27">
        <f t="shared" si="21"/>
        <v>0</v>
      </c>
      <c r="L311" s="28">
        <f>IF(A311="","",C311*'Menu Productos'!$F$5+D311*'Menu Productos'!$F$6+E311*'Menu Productos'!$F$7+F311*'Menu Productos'!$F$8+G311*'Menu Productos'!$F$9+H311*'Menu Productos'!$F$10+I311*'Menu Productos'!$F$11+J311*'Menu Productos'!$F$12)</f>
        <v>0</v>
      </c>
      <c r="M311" s="28">
        <f>IF(A311="","",C311*'Menu Productos'!$E$5+D311*'Menu Productos'!$E$6+E311*'Menu Productos'!$E$7+F311*'Menu Productos'!$E$8+G311*'Menu Productos'!$E$9+H311*'Menu Productos'!$E$10+I311*'Menu Productos'!$E$11+J311*'Menu Productos'!$E$12)</f>
        <v>0</v>
      </c>
      <c r="N311" s="29"/>
      <c r="O311" s="28">
        <f t="shared" si="22"/>
        <v>0</v>
      </c>
      <c r="P311" s="29"/>
      <c r="Q311" s="29"/>
      <c r="R311" s="29"/>
      <c r="S311" s="28">
        <f t="shared" si="23"/>
        <v>0</v>
      </c>
      <c r="T311" s="28">
        <f t="shared" si="24"/>
        <v>0</v>
      </c>
      <c r="U311" s="12"/>
      <c r="V311" s="12" t="str">
        <f ca="1">IF(A311&gt;TODAY(),"FUTURO",IF(AND(K311=0,N311=0,S311=0),"SIN MOVIMIENTO",IF(ABS(T311)&lt;='Metas y Control'!$B$6,"OK","REVISAR CAJA")))</f>
        <v>FUTURO</v>
      </c>
    </row>
    <row r="312" spans="1:22" x14ac:dyDescent="0.3">
      <c r="A312" s="25">
        <f>IF(YEAR(A311+1)=Dashboard!$B$2,A311+1,"")</f>
        <v>46330</v>
      </c>
      <c r="B312" s="26" t="str">
        <f t="shared" si="20"/>
        <v>noviembre</v>
      </c>
      <c r="C312" s="24"/>
      <c r="D312" s="24"/>
      <c r="E312" s="24"/>
      <c r="F312" s="24"/>
      <c r="G312" s="24"/>
      <c r="H312" s="24"/>
      <c r="I312" s="24"/>
      <c r="J312" s="24"/>
      <c r="K312" s="27">
        <f t="shared" si="21"/>
        <v>0</v>
      </c>
      <c r="L312" s="28">
        <f>IF(A312="","",C312*'Menu Productos'!$F$5+D312*'Menu Productos'!$F$6+E312*'Menu Productos'!$F$7+F312*'Menu Productos'!$F$8+G312*'Menu Productos'!$F$9+H312*'Menu Productos'!$F$10+I312*'Menu Productos'!$F$11+J312*'Menu Productos'!$F$12)</f>
        <v>0</v>
      </c>
      <c r="M312" s="28">
        <f>IF(A312="","",C312*'Menu Productos'!$E$5+D312*'Menu Productos'!$E$6+E312*'Menu Productos'!$E$7+F312*'Menu Productos'!$E$8+G312*'Menu Productos'!$E$9+H312*'Menu Productos'!$E$10+I312*'Menu Productos'!$E$11+J312*'Menu Productos'!$E$12)</f>
        <v>0</v>
      </c>
      <c r="N312" s="29"/>
      <c r="O312" s="28">
        <f t="shared" si="22"/>
        <v>0</v>
      </c>
      <c r="P312" s="29"/>
      <c r="Q312" s="29"/>
      <c r="R312" s="29"/>
      <c r="S312" s="28">
        <f t="shared" si="23"/>
        <v>0</v>
      </c>
      <c r="T312" s="28">
        <f t="shared" si="24"/>
        <v>0</v>
      </c>
      <c r="U312" s="12"/>
      <c r="V312" s="12" t="str">
        <f ca="1">IF(A312&gt;TODAY(),"FUTURO",IF(AND(K312=0,N312=0,S312=0),"SIN MOVIMIENTO",IF(ABS(T312)&lt;='Metas y Control'!$B$6,"OK","REVISAR CAJA")))</f>
        <v>FUTURO</v>
      </c>
    </row>
    <row r="313" spans="1:22" x14ac:dyDescent="0.3">
      <c r="A313" s="25">
        <f>IF(YEAR(A312+1)=Dashboard!$B$2,A312+1,"")</f>
        <v>46331</v>
      </c>
      <c r="B313" s="26" t="str">
        <f t="shared" si="20"/>
        <v>noviembre</v>
      </c>
      <c r="C313" s="24"/>
      <c r="D313" s="24"/>
      <c r="E313" s="24"/>
      <c r="F313" s="24"/>
      <c r="G313" s="24"/>
      <c r="H313" s="24"/>
      <c r="I313" s="24"/>
      <c r="J313" s="24"/>
      <c r="K313" s="27">
        <f t="shared" si="21"/>
        <v>0</v>
      </c>
      <c r="L313" s="28">
        <f>IF(A313="","",C313*'Menu Productos'!$F$5+D313*'Menu Productos'!$F$6+E313*'Menu Productos'!$F$7+F313*'Menu Productos'!$F$8+G313*'Menu Productos'!$F$9+H313*'Menu Productos'!$F$10+I313*'Menu Productos'!$F$11+J313*'Menu Productos'!$F$12)</f>
        <v>0</v>
      </c>
      <c r="M313" s="28">
        <f>IF(A313="","",C313*'Menu Productos'!$E$5+D313*'Menu Productos'!$E$6+E313*'Menu Productos'!$E$7+F313*'Menu Productos'!$E$8+G313*'Menu Productos'!$E$9+H313*'Menu Productos'!$E$10+I313*'Menu Productos'!$E$11+J313*'Menu Productos'!$E$12)</f>
        <v>0</v>
      </c>
      <c r="N313" s="29"/>
      <c r="O313" s="28">
        <f t="shared" si="22"/>
        <v>0</v>
      </c>
      <c r="P313" s="29"/>
      <c r="Q313" s="29"/>
      <c r="R313" s="29"/>
      <c r="S313" s="28">
        <f t="shared" si="23"/>
        <v>0</v>
      </c>
      <c r="T313" s="28">
        <f t="shared" si="24"/>
        <v>0</v>
      </c>
      <c r="U313" s="12"/>
      <c r="V313" s="12" t="str">
        <f ca="1">IF(A313&gt;TODAY(),"FUTURO",IF(AND(K313=0,N313=0,S313=0),"SIN MOVIMIENTO",IF(ABS(T313)&lt;='Metas y Control'!$B$6,"OK","REVISAR CAJA")))</f>
        <v>FUTURO</v>
      </c>
    </row>
    <row r="314" spans="1:22" x14ac:dyDescent="0.3">
      <c r="A314" s="25">
        <f>IF(YEAR(A313+1)=Dashboard!$B$2,A313+1,"")</f>
        <v>46332</v>
      </c>
      <c r="B314" s="26" t="str">
        <f t="shared" si="20"/>
        <v>noviembre</v>
      </c>
      <c r="C314" s="24"/>
      <c r="D314" s="24"/>
      <c r="E314" s="24"/>
      <c r="F314" s="24"/>
      <c r="G314" s="24"/>
      <c r="H314" s="24"/>
      <c r="I314" s="24"/>
      <c r="J314" s="24"/>
      <c r="K314" s="27">
        <f t="shared" si="21"/>
        <v>0</v>
      </c>
      <c r="L314" s="28">
        <f>IF(A314="","",C314*'Menu Productos'!$F$5+D314*'Menu Productos'!$F$6+E314*'Menu Productos'!$F$7+F314*'Menu Productos'!$F$8+G314*'Menu Productos'!$F$9+H314*'Menu Productos'!$F$10+I314*'Menu Productos'!$F$11+J314*'Menu Productos'!$F$12)</f>
        <v>0</v>
      </c>
      <c r="M314" s="28">
        <f>IF(A314="","",C314*'Menu Productos'!$E$5+D314*'Menu Productos'!$E$6+E314*'Menu Productos'!$E$7+F314*'Menu Productos'!$E$8+G314*'Menu Productos'!$E$9+H314*'Menu Productos'!$E$10+I314*'Menu Productos'!$E$11+J314*'Menu Productos'!$E$12)</f>
        <v>0</v>
      </c>
      <c r="N314" s="29"/>
      <c r="O314" s="28">
        <f t="shared" si="22"/>
        <v>0</v>
      </c>
      <c r="P314" s="29"/>
      <c r="Q314" s="29"/>
      <c r="R314" s="29"/>
      <c r="S314" s="28">
        <f t="shared" si="23"/>
        <v>0</v>
      </c>
      <c r="T314" s="28">
        <f t="shared" si="24"/>
        <v>0</v>
      </c>
      <c r="U314" s="12"/>
      <c r="V314" s="12" t="str">
        <f ca="1">IF(A314&gt;TODAY(),"FUTURO",IF(AND(K314=0,N314=0,S314=0),"SIN MOVIMIENTO",IF(ABS(T314)&lt;='Metas y Control'!$B$6,"OK","REVISAR CAJA")))</f>
        <v>FUTURO</v>
      </c>
    </row>
    <row r="315" spans="1:22" x14ac:dyDescent="0.3">
      <c r="A315" s="25">
        <f>IF(YEAR(A314+1)=Dashboard!$B$2,A314+1,"")</f>
        <v>46333</v>
      </c>
      <c r="B315" s="26" t="str">
        <f t="shared" si="20"/>
        <v>noviembre</v>
      </c>
      <c r="C315" s="24"/>
      <c r="D315" s="24"/>
      <c r="E315" s="24"/>
      <c r="F315" s="24"/>
      <c r="G315" s="24"/>
      <c r="H315" s="24"/>
      <c r="I315" s="24"/>
      <c r="J315" s="24"/>
      <c r="K315" s="27">
        <f t="shared" si="21"/>
        <v>0</v>
      </c>
      <c r="L315" s="28">
        <f>IF(A315="","",C315*'Menu Productos'!$F$5+D315*'Menu Productos'!$F$6+E315*'Menu Productos'!$F$7+F315*'Menu Productos'!$F$8+G315*'Menu Productos'!$F$9+H315*'Menu Productos'!$F$10+I315*'Menu Productos'!$F$11+J315*'Menu Productos'!$F$12)</f>
        <v>0</v>
      </c>
      <c r="M315" s="28">
        <f>IF(A315="","",C315*'Menu Productos'!$E$5+D315*'Menu Productos'!$E$6+E315*'Menu Productos'!$E$7+F315*'Menu Productos'!$E$8+G315*'Menu Productos'!$E$9+H315*'Menu Productos'!$E$10+I315*'Menu Productos'!$E$11+J315*'Menu Productos'!$E$12)</f>
        <v>0</v>
      </c>
      <c r="N315" s="29"/>
      <c r="O315" s="28">
        <f t="shared" si="22"/>
        <v>0</v>
      </c>
      <c r="P315" s="29"/>
      <c r="Q315" s="29"/>
      <c r="R315" s="29"/>
      <c r="S315" s="28">
        <f t="shared" si="23"/>
        <v>0</v>
      </c>
      <c r="T315" s="28">
        <f t="shared" si="24"/>
        <v>0</v>
      </c>
      <c r="U315" s="12"/>
      <c r="V315" s="12" t="str">
        <f ca="1">IF(A315&gt;TODAY(),"FUTURO",IF(AND(K315=0,N315=0,S315=0),"SIN MOVIMIENTO",IF(ABS(T315)&lt;='Metas y Control'!$B$6,"OK","REVISAR CAJA")))</f>
        <v>FUTURO</v>
      </c>
    </row>
    <row r="316" spans="1:22" x14ac:dyDescent="0.3">
      <c r="A316" s="25">
        <f>IF(YEAR(A315+1)=Dashboard!$B$2,A315+1,"")</f>
        <v>46334</v>
      </c>
      <c r="B316" s="26" t="str">
        <f t="shared" si="20"/>
        <v>noviembre</v>
      </c>
      <c r="C316" s="24"/>
      <c r="D316" s="24"/>
      <c r="E316" s="24"/>
      <c r="F316" s="24"/>
      <c r="G316" s="24"/>
      <c r="H316" s="24"/>
      <c r="I316" s="24"/>
      <c r="J316" s="24"/>
      <c r="K316" s="27">
        <f t="shared" si="21"/>
        <v>0</v>
      </c>
      <c r="L316" s="28">
        <f>IF(A316="","",C316*'Menu Productos'!$F$5+D316*'Menu Productos'!$F$6+E316*'Menu Productos'!$F$7+F316*'Menu Productos'!$F$8+G316*'Menu Productos'!$F$9+H316*'Menu Productos'!$F$10+I316*'Menu Productos'!$F$11+J316*'Menu Productos'!$F$12)</f>
        <v>0</v>
      </c>
      <c r="M316" s="28">
        <f>IF(A316="","",C316*'Menu Productos'!$E$5+D316*'Menu Productos'!$E$6+E316*'Menu Productos'!$E$7+F316*'Menu Productos'!$E$8+G316*'Menu Productos'!$E$9+H316*'Menu Productos'!$E$10+I316*'Menu Productos'!$E$11+J316*'Menu Productos'!$E$12)</f>
        <v>0</v>
      </c>
      <c r="N316" s="29"/>
      <c r="O316" s="28">
        <f t="shared" si="22"/>
        <v>0</v>
      </c>
      <c r="P316" s="29"/>
      <c r="Q316" s="29"/>
      <c r="R316" s="29"/>
      <c r="S316" s="28">
        <f t="shared" si="23"/>
        <v>0</v>
      </c>
      <c r="T316" s="28">
        <f t="shared" si="24"/>
        <v>0</v>
      </c>
      <c r="U316" s="12"/>
      <c r="V316" s="12" t="str">
        <f ca="1">IF(A316&gt;TODAY(),"FUTURO",IF(AND(K316=0,N316=0,S316=0),"SIN MOVIMIENTO",IF(ABS(T316)&lt;='Metas y Control'!$B$6,"OK","REVISAR CAJA")))</f>
        <v>FUTURO</v>
      </c>
    </row>
    <row r="317" spans="1:22" x14ac:dyDescent="0.3">
      <c r="A317" s="25">
        <f>IF(YEAR(A316+1)=Dashboard!$B$2,A316+1,"")</f>
        <v>46335</v>
      </c>
      <c r="B317" s="26" t="str">
        <f t="shared" si="20"/>
        <v>noviembre</v>
      </c>
      <c r="C317" s="24"/>
      <c r="D317" s="24"/>
      <c r="E317" s="24"/>
      <c r="F317" s="24"/>
      <c r="G317" s="24"/>
      <c r="H317" s="24"/>
      <c r="I317" s="24"/>
      <c r="J317" s="24"/>
      <c r="K317" s="27">
        <f t="shared" si="21"/>
        <v>0</v>
      </c>
      <c r="L317" s="28">
        <f>IF(A317="","",C317*'Menu Productos'!$F$5+D317*'Menu Productos'!$F$6+E317*'Menu Productos'!$F$7+F317*'Menu Productos'!$F$8+G317*'Menu Productos'!$F$9+H317*'Menu Productos'!$F$10+I317*'Menu Productos'!$F$11+J317*'Menu Productos'!$F$12)</f>
        <v>0</v>
      </c>
      <c r="M317" s="28">
        <f>IF(A317="","",C317*'Menu Productos'!$E$5+D317*'Menu Productos'!$E$6+E317*'Menu Productos'!$E$7+F317*'Menu Productos'!$E$8+G317*'Menu Productos'!$E$9+H317*'Menu Productos'!$E$10+I317*'Menu Productos'!$E$11+J317*'Menu Productos'!$E$12)</f>
        <v>0</v>
      </c>
      <c r="N317" s="29"/>
      <c r="O317" s="28">
        <f t="shared" si="22"/>
        <v>0</v>
      </c>
      <c r="P317" s="29"/>
      <c r="Q317" s="29"/>
      <c r="R317" s="29"/>
      <c r="S317" s="28">
        <f t="shared" si="23"/>
        <v>0</v>
      </c>
      <c r="T317" s="28">
        <f t="shared" si="24"/>
        <v>0</v>
      </c>
      <c r="U317" s="12"/>
      <c r="V317" s="12" t="str">
        <f ca="1">IF(A317&gt;TODAY(),"FUTURO",IF(AND(K317=0,N317=0,S317=0),"SIN MOVIMIENTO",IF(ABS(T317)&lt;='Metas y Control'!$B$6,"OK","REVISAR CAJA")))</f>
        <v>FUTURO</v>
      </c>
    </row>
    <row r="318" spans="1:22" x14ac:dyDescent="0.3">
      <c r="A318" s="25">
        <f>IF(YEAR(A317+1)=Dashboard!$B$2,A317+1,"")</f>
        <v>46336</v>
      </c>
      <c r="B318" s="26" t="str">
        <f t="shared" si="20"/>
        <v>noviembre</v>
      </c>
      <c r="C318" s="24"/>
      <c r="D318" s="24"/>
      <c r="E318" s="24"/>
      <c r="F318" s="24"/>
      <c r="G318" s="24"/>
      <c r="H318" s="24"/>
      <c r="I318" s="24"/>
      <c r="J318" s="24"/>
      <c r="K318" s="27">
        <f t="shared" si="21"/>
        <v>0</v>
      </c>
      <c r="L318" s="28">
        <f>IF(A318="","",C318*'Menu Productos'!$F$5+D318*'Menu Productos'!$F$6+E318*'Menu Productos'!$F$7+F318*'Menu Productos'!$F$8+G318*'Menu Productos'!$F$9+H318*'Menu Productos'!$F$10+I318*'Menu Productos'!$F$11+J318*'Menu Productos'!$F$12)</f>
        <v>0</v>
      </c>
      <c r="M318" s="28">
        <f>IF(A318="","",C318*'Menu Productos'!$E$5+D318*'Menu Productos'!$E$6+E318*'Menu Productos'!$E$7+F318*'Menu Productos'!$E$8+G318*'Menu Productos'!$E$9+H318*'Menu Productos'!$E$10+I318*'Menu Productos'!$E$11+J318*'Menu Productos'!$E$12)</f>
        <v>0</v>
      </c>
      <c r="N318" s="29"/>
      <c r="O318" s="28">
        <f t="shared" si="22"/>
        <v>0</v>
      </c>
      <c r="P318" s="29"/>
      <c r="Q318" s="29"/>
      <c r="R318" s="29"/>
      <c r="S318" s="28">
        <f t="shared" si="23"/>
        <v>0</v>
      </c>
      <c r="T318" s="28">
        <f t="shared" si="24"/>
        <v>0</v>
      </c>
      <c r="U318" s="12"/>
      <c r="V318" s="12" t="str">
        <f ca="1">IF(A318&gt;TODAY(),"FUTURO",IF(AND(K318=0,N318=0,S318=0),"SIN MOVIMIENTO",IF(ABS(T318)&lt;='Metas y Control'!$B$6,"OK","REVISAR CAJA")))</f>
        <v>FUTURO</v>
      </c>
    </row>
    <row r="319" spans="1:22" x14ac:dyDescent="0.3">
      <c r="A319" s="25">
        <f>IF(YEAR(A318+1)=Dashboard!$B$2,A318+1,"")</f>
        <v>46337</v>
      </c>
      <c r="B319" s="26" t="str">
        <f t="shared" si="20"/>
        <v>noviembre</v>
      </c>
      <c r="C319" s="24"/>
      <c r="D319" s="24"/>
      <c r="E319" s="24"/>
      <c r="F319" s="24"/>
      <c r="G319" s="24"/>
      <c r="H319" s="24"/>
      <c r="I319" s="24"/>
      <c r="J319" s="24"/>
      <c r="K319" s="27">
        <f t="shared" si="21"/>
        <v>0</v>
      </c>
      <c r="L319" s="28">
        <f>IF(A319="","",C319*'Menu Productos'!$F$5+D319*'Menu Productos'!$F$6+E319*'Menu Productos'!$F$7+F319*'Menu Productos'!$F$8+G319*'Menu Productos'!$F$9+H319*'Menu Productos'!$F$10+I319*'Menu Productos'!$F$11+J319*'Menu Productos'!$F$12)</f>
        <v>0</v>
      </c>
      <c r="M319" s="28">
        <f>IF(A319="","",C319*'Menu Productos'!$E$5+D319*'Menu Productos'!$E$6+E319*'Menu Productos'!$E$7+F319*'Menu Productos'!$E$8+G319*'Menu Productos'!$E$9+H319*'Menu Productos'!$E$10+I319*'Menu Productos'!$E$11+J319*'Menu Productos'!$E$12)</f>
        <v>0</v>
      </c>
      <c r="N319" s="29"/>
      <c r="O319" s="28">
        <f t="shared" si="22"/>
        <v>0</v>
      </c>
      <c r="P319" s="29"/>
      <c r="Q319" s="29"/>
      <c r="R319" s="29"/>
      <c r="S319" s="28">
        <f t="shared" si="23"/>
        <v>0</v>
      </c>
      <c r="T319" s="28">
        <f t="shared" si="24"/>
        <v>0</v>
      </c>
      <c r="U319" s="12"/>
      <c r="V319" s="12" t="str">
        <f ca="1">IF(A319&gt;TODAY(),"FUTURO",IF(AND(K319=0,N319=0,S319=0),"SIN MOVIMIENTO",IF(ABS(T319)&lt;='Metas y Control'!$B$6,"OK","REVISAR CAJA")))</f>
        <v>FUTURO</v>
      </c>
    </row>
    <row r="320" spans="1:22" x14ac:dyDescent="0.3">
      <c r="A320" s="25">
        <f>IF(YEAR(A319+1)=Dashboard!$B$2,A319+1,"")</f>
        <v>46338</v>
      </c>
      <c r="B320" s="26" t="str">
        <f t="shared" si="20"/>
        <v>noviembre</v>
      </c>
      <c r="C320" s="24"/>
      <c r="D320" s="24"/>
      <c r="E320" s="24"/>
      <c r="F320" s="24"/>
      <c r="G320" s="24"/>
      <c r="H320" s="24"/>
      <c r="I320" s="24"/>
      <c r="J320" s="24"/>
      <c r="K320" s="27">
        <f t="shared" si="21"/>
        <v>0</v>
      </c>
      <c r="L320" s="28">
        <f>IF(A320="","",C320*'Menu Productos'!$F$5+D320*'Menu Productos'!$F$6+E320*'Menu Productos'!$F$7+F320*'Menu Productos'!$F$8+G320*'Menu Productos'!$F$9+H320*'Menu Productos'!$F$10+I320*'Menu Productos'!$F$11+J320*'Menu Productos'!$F$12)</f>
        <v>0</v>
      </c>
      <c r="M320" s="28">
        <f>IF(A320="","",C320*'Menu Productos'!$E$5+D320*'Menu Productos'!$E$6+E320*'Menu Productos'!$E$7+F320*'Menu Productos'!$E$8+G320*'Menu Productos'!$E$9+H320*'Menu Productos'!$E$10+I320*'Menu Productos'!$E$11+J320*'Menu Productos'!$E$12)</f>
        <v>0</v>
      </c>
      <c r="N320" s="29"/>
      <c r="O320" s="28">
        <f t="shared" si="22"/>
        <v>0</v>
      </c>
      <c r="P320" s="29"/>
      <c r="Q320" s="29"/>
      <c r="R320" s="29"/>
      <c r="S320" s="28">
        <f t="shared" si="23"/>
        <v>0</v>
      </c>
      <c r="T320" s="28">
        <f t="shared" si="24"/>
        <v>0</v>
      </c>
      <c r="U320" s="12"/>
      <c r="V320" s="12" t="str">
        <f ca="1">IF(A320&gt;TODAY(),"FUTURO",IF(AND(K320=0,N320=0,S320=0),"SIN MOVIMIENTO",IF(ABS(T320)&lt;='Metas y Control'!$B$6,"OK","REVISAR CAJA")))</f>
        <v>FUTURO</v>
      </c>
    </row>
    <row r="321" spans="1:22" x14ac:dyDescent="0.3">
      <c r="A321" s="25">
        <f>IF(YEAR(A320+1)=Dashboard!$B$2,A320+1,"")</f>
        <v>46339</v>
      </c>
      <c r="B321" s="26" t="str">
        <f t="shared" si="20"/>
        <v>noviembre</v>
      </c>
      <c r="C321" s="24"/>
      <c r="D321" s="24"/>
      <c r="E321" s="24"/>
      <c r="F321" s="24"/>
      <c r="G321" s="24"/>
      <c r="H321" s="24"/>
      <c r="I321" s="24"/>
      <c r="J321" s="24"/>
      <c r="K321" s="27">
        <f t="shared" si="21"/>
        <v>0</v>
      </c>
      <c r="L321" s="28">
        <f>IF(A321="","",C321*'Menu Productos'!$F$5+D321*'Menu Productos'!$F$6+E321*'Menu Productos'!$F$7+F321*'Menu Productos'!$F$8+G321*'Menu Productos'!$F$9+H321*'Menu Productos'!$F$10+I321*'Menu Productos'!$F$11+J321*'Menu Productos'!$F$12)</f>
        <v>0</v>
      </c>
      <c r="M321" s="28">
        <f>IF(A321="","",C321*'Menu Productos'!$E$5+D321*'Menu Productos'!$E$6+E321*'Menu Productos'!$E$7+F321*'Menu Productos'!$E$8+G321*'Menu Productos'!$E$9+H321*'Menu Productos'!$E$10+I321*'Menu Productos'!$E$11+J321*'Menu Productos'!$E$12)</f>
        <v>0</v>
      </c>
      <c r="N321" s="29"/>
      <c r="O321" s="28">
        <f t="shared" si="22"/>
        <v>0</v>
      </c>
      <c r="P321" s="29"/>
      <c r="Q321" s="29"/>
      <c r="R321" s="29"/>
      <c r="S321" s="28">
        <f t="shared" si="23"/>
        <v>0</v>
      </c>
      <c r="T321" s="28">
        <f t="shared" si="24"/>
        <v>0</v>
      </c>
      <c r="U321" s="12"/>
      <c r="V321" s="12" t="str">
        <f ca="1">IF(A321&gt;TODAY(),"FUTURO",IF(AND(K321=0,N321=0,S321=0),"SIN MOVIMIENTO",IF(ABS(T321)&lt;='Metas y Control'!$B$6,"OK","REVISAR CAJA")))</f>
        <v>FUTURO</v>
      </c>
    </row>
    <row r="322" spans="1:22" x14ac:dyDescent="0.3">
      <c r="A322" s="25">
        <f>IF(YEAR(A321+1)=Dashboard!$B$2,A321+1,"")</f>
        <v>46340</v>
      </c>
      <c r="B322" s="26" t="str">
        <f t="shared" si="20"/>
        <v>noviembre</v>
      </c>
      <c r="C322" s="24"/>
      <c r="D322" s="24"/>
      <c r="E322" s="24"/>
      <c r="F322" s="24"/>
      <c r="G322" s="24"/>
      <c r="H322" s="24"/>
      <c r="I322" s="24"/>
      <c r="J322" s="24"/>
      <c r="K322" s="27">
        <f t="shared" si="21"/>
        <v>0</v>
      </c>
      <c r="L322" s="28">
        <f>IF(A322="","",C322*'Menu Productos'!$F$5+D322*'Menu Productos'!$F$6+E322*'Menu Productos'!$F$7+F322*'Menu Productos'!$F$8+G322*'Menu Productos'!$F$9+H322*'Menu Productos'!$F$10+I322*'Menu Productos'!$F$11+J322*'Menu Productos'!$F$12)</f>
        <v>0</v>
      </c>
      <c r="M322" s="28">
        <f>IF(A322="","",C322*'Menu Productos'!$E$5+D322*'Menu Productos'!$E$6+E322*'Menu Productos'!$E$7+F322*'Menu Productos'!$E$8+G322*'Menu Productos'!$E$9+H322*'Menu Productos'!$E$10+I322*'Menu Productos'!$E$11+J322*'Menu Productos'!$E$12)</f>
        <v>0</v>
      </c>
      <c r="N322" s="29"/>
      <c r="O322" s="28">
        <f t="shared" si="22"/>
        <v>0</v>
      </c>
      <c r="P322" s="29"/>
      <c r="Q322" s="29"/>
      <c r="R322" s="29"/>
      <c r="S322" s="28">
        <f t="shared" si="23"/>
        <v>0</v>
      </c>
      <c r="T322" s="28">
        <f t="shared" si="24"/>
        <v>0</v>
      </c>
      <c r="U322" s="12"/>
      <c r="V322" s="12" t="str">
        <f ca="1">IF(A322&gt;TODAY(),"FUTURO",IF(AND(K322=0,N322=0,S322=0),"SIN MOVIMIENTO",IF(ABS(T322)&lt;='Metas y Control'!$B$6,"OK","REVISAR CAJA")))</f>
        <v>FUTURO</v>
      </c>
    </row>
    <row r="323" spans="1:22" x14ac:dyDescent="0.3">
      <c r="A323" s="25">
        <f>IF(YEAR(A322+1)=Dashboard!$B$2,A322+1,"")</f>
        <v>46341</v>
      </c>
      <c r="B323" s="26" t="str">
        <f t="shared" si="20"/>
        <v>noviembre</v>
      </c>
      <c r="C323" s="24"/>
      <c r="D323" s="24"/>
      <c r="E323" s="24"/>
      <c r="F323" s="24"/>
      <c r="G323" s="24"/>
      <c r="H323" s="24"/>
      <c r="I323" s="24"/>
      <c r="J323" s="24"/>
      <c r="K323" s="27">
        <f t="shared" si="21"/>
        <v>0</v>
      </c>
      <c r="L323" s="28">
        <f>IF(A323="","",C323*'Menu Productos'!$F$5+D323*'Menu Productos'!$F$6+E323*'Menu Productos'!$F$7+F323*'Menu Productos'!$F$8+G323*'Menu Productos'!$F$9+H323*'Menu Productos'!$F$10+I323*'Menu Productos'!$F$11+J323*'Menu Productos'!$F$12)</f>
        <v>0</v>
      </c>
      <c r="M323" s="28">
        <f>IF(A323="","",C323*'Menu Productos'!$E$5+D323*'Menu Productos'!$E$6+E323*'Menu Productos'!$E$7+F323*'Menu Productos'!$E$8+G323*'Menu Productos'!$E$9+H323*'Menu Productos'!$E$10+I323*'Menu Productos'!$E$11+J323*'Menu Productos'!$E$12)</f>
        <v>0</v>
      </c>
      <c r="N323" s="29"/>
      <c r="O323" s="28">
        <f t="shared" si="22"/>
        <v>0</v>
      </c>
      <c r="P323" s="29"/>
      <c r="Q323" s="29"/>
      <c r="R323" s="29"/>
      <c r="S323" s="28">
        <f t="shared" si="23"/>
        <v>0</v>
      </c>
      <c r="T323" s="28">
        <f t="shared" si="24"/>
        <v>0</v>
      </c>
      <c r="U323" s="12"/>
      <c r="V323" s="12" t="str">
        <f ca="1">IF(A323&gt;TODAY(),"FUTURO",IF(AND(K323=0,N323=0,S323=0),"SIN MOVIMIENTO",IF(ABS(T323)&lt;='Metas y Control'!$B$6,"OK","REVISAR CAJA")))</f>
        <v>FUTURO</v>
      </c>
    </row>
    <row r="324" spans="1:22" x14ac:dyDescent="0.3">
      <c r="A324" s="25">
        <f>IF(YEAR(A323+1)=Dashboard!$B$2,A323+1,"")</f>
        <v>46342</v>
      </c>
      <c r="B324" s="26" t="str">
        <f t="shared" si="20"/>
        <v>noviembre</v>
      </c>
      <c r="C324" s="24"/>
      <c r="D324" s="24"/>
      <c r="E324" s="24"/>
      <c r="F324" s="24"/>
      <c r="G324" s="24"/>
      <c r="H324" s="24"/>
      <c r="I324" s="24"/>
      <c r="J324" s="24"/>
      <c r="K324" s="27">
        <f t="shared" si="21"/>
        <v>0</v>
      </c>
      <c r="L324" s="28">
        <f>IF(A324="","",C324*'Menu Productos'!$F$5+D324*'Menu Productos'!$F$6+E324*'Menu Productos'!$F$7+F324*'Menu Productos'!$F$8+G324*'Menu Productos'!$F$9+H324*'Menu Productos'!$F$10+I324*'Menu Productos'!$F$11+J324*'Menu Productos'!$F$12)</f>
        <v>0</v>
      </c>
      <c r="M324" s="28">
        <f>IF(A324="","",C324*'Menu Productos'!$E$5+D324*'Menu Productos'!$E$6+E324*'Menu Productos'!$E$7+F324*'Menu Productos'!$E$8+G324*'Menu Productos'!$E$9+H324*'Menu Productos'!$E$10+I324*'Menu Productos'!$E$11+J324*'Menu Productos'!$E$12)</f>
        <v>0</v>
      </c>
      <c r="N324" s="29"/>
      <c r="O324" s="28">
        <f t="shared" si="22"/>
        <v>0</v>
      </c>
      <c r="P324" s="29"/>
      <c r="Q324" s="29"/>
      <c r="R324" s="29"/>
      <c r="S324" s="28">
        <f t="shared" si="23"/>
        <v>0</v>
      </c>
      <c r="T324" s="28">
        <f t="shared" si="24"/>
        <v>0</v>
      </c>
      <c r="U324" s="12"/>
      <c r="V324" s="12" t="str">
        <f ca="1">IF(A324&gt;TODAY(),"FUTURO",IF(AND(K324=0,N324=0,S324=0),"SIN MOVIMIENTO",IF(ABS(T324)&lt;='Metas y Control'!$B$6,"OK","REVISAR CAJA")))</f>
        <v>FUTURO</v>
      </c>
    </row>
    <row r="325" spans="1:22" x14ac:dyDescent="0.3">
      <c r="A325" s="25">
        <f>IF(YEAR(A324+1)=Dashboard!$B$2,A324+1,"")</f>
        <v>46343</v>
      </c>
      <c r="B325" s="26" t="str">
        <f t="shared" si="20"/>
        <v>noviembre</v>
      </c>
      <c r="C325" s="24"/>
      <c r="D325" s="24"/>
      <c r="E325" s="24"/>
      <c r="F325" s="24"/>
      <c r="G325" s="24"/>
      <c r="H325" s="24"/>
      <c r="I325" s="24"/>
      <c r="J325" s="24"/>
      <c r="K325" s="27">
        <f t="shared" si="21"/>
        <v>0</v>
      </c>
      <c r="L325" s="28">
        <f>IF(A325="","",C325*'Menu Productos'!$F$5+D325*'Menu Productos'!$F$6+E325*'Menu Productos'!$F$7+F325*'Menu Productos'!$F$8+G325*'Menu Productos'!$F$9+H325*'Menu Productos'!$F$10+I325*'Menu Productos'!$F$11+J325*'Menu Productos'!$F$12)</f>
        <v>0</v>
      </c>
      <c r="M325" s="28">
        <f>IF(A325="","",C325*'Menu Productos'!$E$5+D325*'Menu Productos'!$E$6+E325*'Menu Productos'!$E$7+F325*'Menu Productos'!$E$8+G325*'Menu Productos'!$E$9+H325*'Menu Productos'!$E$10+I325*'Menu Productos'!$E$11+J325*'Menu Productos'!$E$12)</f>
        <v>0</v>
      </c>
      <c r="N325" s="29"/>
      <c r="O325" s="28">
        <f t="shared" si="22"/>
        <v>0</v>
      </c>
      <c r="P325" s="29"/>
      <c r="Q325" s="29"/>
      <c r="R325" s="29"/>
      <c r="S325" s="28">
        <f t="shared" si="23"/>
        <v>0</v>
      </c>
      <c r="T325" s="28">
        <f t="shared" si="24"/>
        <v>0</v>
      </c>
      <c r="U325" s="12"/>
      <c r="V325" s="12" t="str">
        <f ca="1">IF(A325&gt;TODAY(),"FUTURO",IF(AND(K325=0,N325=0,S325=0),"SIN MOVIMIENTO",IF(ABS(T325)&lt;='Metas y Control'!$B$6,"OK","REVISAR CAJA")))</f>
        <v>FUTURO</v>
      </c>
    </row>
    <row r="326" spans="1:22" x14ac:dyDescent="0.3">
      <c r="A326" s="25">
        <f>IF(YEAR(A325+1)=Dashboard!$B$2,A325+1,"")</f>
        <v>46344</v>
      </c>
      <c r="B326" s="26" t="str">
        <f t="shared" ref="B326:B370" si="25">IF(A326="","",TEXT(A326,"mmmm"))</f>
        <v>noviembre</v>
      </c>
      <c r="C326" s="24"/>
      <c r="D326" s="24"/>
      <c r="E326" s="24"/>
      <c r="F326" s="24"/>
      <c r="G326" s="24"/>
      <c r="H326" s="24"/>
      <c r="I326" s="24"/>
      <c r="J326" s="24"/>
      <c r="K326" s="27">
        <f t="shared" ref="K326:K370" si="26">IF(A326="","",SUM(C326:J326))</f>
        <v>0</v>
      </c>
      <c r="L326" s="28">
        <f>IF(A326="","",C326*'Menu Productos'!$F$5+D326*'Menu Productos'!$F$6+E326*'Menu Productos'!$F$7+F326*'Menu Productos'!$F$8+G326*'Menu Productos'!$F$9+H326*'Menu Productos'!$F$10+I326*'Menu Productos'!$F$11+J326*'Menu Productos'!$F$12)</f>
        <v>0</v>
      </c>
      <c r="M326" s="28">
        <f>IF(A326="","",C326*'Menu Productos'!$E$5+D326*'Menu Productos'!$E$6+E326*'Menu Productos'!$E$7+F326*'Menu Productos'!$E$8+G326*'Menu Productos'!$E$9+H326*'Menu Productos'!$E$10+I326*'Menu Productos'!$E$11+J326*'Menu Productos'!$E$12)</f>
        <v>0</v>
      </c>
      <c r="N326" s="29"/>
      <c r="O326" s="28">
        <f t="shared" ref="O326:O370" si="27">IF(A326="","",L326-M326-N326)</f>
        <v>0</v>
      </c>
      <c r="P326" s="29"/>
      <c r="Q326" s="29"/>
      <c r="R326" s="29"/>
      <c r="S326" s="28">
        <f t="shared" ref="S326:S370" si="28">IF(A326="","",SUM(P326:R326))</f>
        <v>0</v>
      </c>
      <c r="T326" s="28">
        <f t="shared" ref="T326:T370" si="29">IF(A326="","",S326-(L326-N326))</f>
        <v>0</v>
      </c>
      <c r="U326" s="12"/>
      <c r="V326" s="12" t="str">
        <f ca="1">IF(A326&gt;TODAY(),"FUTURO",IF(AND(K326=0,N326=0,S326=0),"SIN MOVIMIENTO",IF(ABS(T326)&lt;='Metas y Control'!$B$6,"OK","REVISAR CAJA")))</f>
        <v>FUTURO</v>
      </c>
    </row>
    <row r="327" spans="1:22" x14ac:dyDescent="0.3">
      <c r="A327" s="25">
        <f>IF(YEAR(A326+1)=Dashboard!$B$2,A326+1,"")</f>
        <v>46345</v>
      </c>
      <c r="B327" s="26" t="str">
        <f t="shared" si="25"/>
        <v>noviembre</v>
      </c>
      <c r="C327" s="24"/>
      <c r="D327" s="24"/>
      <c r="E327" s="24"/>
      <c r="F327" s="24"/>
      <c r="G327" s="24"/>
      <c r="H327" s="24"/>
      <c r="I327" s="24"/>
      <c r="J327" s="24"/>
      <c r="K327" s="27">
        <f t="shared" si="26"/>
        <v>0</v>
      </c>
      <c r="L327" s="28">
        <f>IF(A327="","",C327*'Menu Productos'!$F$5+D327*'Menu Productos'!$F$6+E327*'Menu Productos'!$F$7+F327*'Menu Productos'!$F$8+G327*'Menu Productos'!$F$9+H327*'Menu Productos'!$F$10+I327*'Menu Productos'!$F$11+J327*'Menu Productos'!$F$12)</f>
        <v>0</v>
      </c>
      <c r="M327" s="28">
        <f>IF(A327="","",C327*'Menu Productos'!$E$5+D327*'Menu Productos'!$E$6+E327*'Menu Productos'!$E$7+F327*'Menu Productos'!$E$8+G327*'Menu Productos'!$E$9+H327*'Menu Productos'!$E$10+I327*'Menu Productos'!$E$11+J327*'Menu Productos'!$E$12)</f>
        <v>0</v>
      </c>
      <c r="N327" s="29"/>
      <c r="O327" s="28">
        <f t="shared" si="27"/>
        <v>0</v>
      </c>
      <c r="P327" s="29"/>
      <c r="Q327" s="29"/>
      <c r="R327" s="29"/>
      <c r="S327" s="28">
        <f t="shared" si="28"/>
        <v>0</v>
      </c>
      <c r="T327" s="28">
        <f t="shared" si="29"/>
        <v>0</v>
      </c>
      <c r="U327" s="12"/>
      <c r="V327" s="12" t="str">
        <f ca="1">IF(A327&gt;TODAY(),"FUTURO",IF(AND(K327=0,N327=0,S327=0),"SIN MOVIMIENTO",IF(ABS(T327)&lt;='Metas y Control'!$B$6,"OK","REVISAR CAJA")))</f>
        <v>FUTURO</v>
      </c>
    </row>
    <row r="328" spans="1:22" x14ac:dyDescent="0.3">
      <c r="A328" s="25">
        <f>IF(YEAR(A327+1)=Dashboard!$B$2,A327+1,"")</f>
        <v>46346</v>
      </c>
      <c r="B328" s="26" t="str">
        <f t="shared" si="25"/>
        <v>noviembre</v>
      </c>
      <c r="C328" s="24"/>
      <c r="D328" s="24"/>
      <c r="E328" s="24"/>
      <c r="F328" s="24"/>
      <c r="G328" s="24"/>
      <c r="H328" s="24"/>
      <c r="I328" s="24"/>
      <c r="J328" s="24"/>
      <c r="K328" s="27">
        <f t="shared" si="26"/>
        <v>0</v>
      </c>
      <c r="L328" s="28">
        <f>IF(A328="","",C328*'Menu Productos'!$F$5+D328*'Menu Productos'!$F$6+E328*'Menu Productos'!$F$7+F328*'Menu Productos'!$F$8+G328*'Menu Productos'!$F$9+H328*'Menu Productos'!$F$10+I328*'Menu Productos'!$F$11+J328*'Menu Productos'!$F$12)</f>
        <v>0</v>
      </c>
      <c r="M328" s="28">
        <f>IF(A328="","",C328*'Menu Productos'!$E$5+D328*'Menu Productos'!$E$6+E328*'Menu Productos'!$E$7+F328*'Menu Productos'!$E$8+G328*'Menu Productos'!$E$9+H328*'Menu Productos'!$E$10+I328*'Menu Productos'!$E$11+J328*'Menu Productos'!$E$12)</f>
        <v>0</v>
      </c>
      <c r="N328" s="29"/>
      <c r="O328" s="28">
        <f t="shared" si="27"/>
        <v>0</v>
      </c>
      <c r="P328" s="29"/>
      <c r="Q328" s="29"/>
      <c r="R328" s="29"/>
      <c r="S328" s="28">
        <f t="shared" si="28"/>
        <v>0</v>
      </c>
      <c r="T328" s="28">
        <f t="shared" si="29"/>
        <v>0</v>
      </c>
      <c r="U328" s="12"/>
      <c r="V328" s="12" t="str">
        <f ca="1">IF(A328&gt;TODAY(),"FUTURO",IF(AND(K328=0,N328=0,S328=0),"SIN MOVIMIENTO",IF(ABS(T328)&lt;='Metas y Control'!$B$6,"OK","REVISAR CAJA")))</f>
        <v>FUTURO</v>
      </c>
    </row>
    <row r="329" spans="1:22" x14ac:dyDescent="0.3">
      <c r="A329" s="25">
        <f>IF(YEAR(A328+1)=Dashboard!$B$2,A328+1,"")</f>
        <v>46347</v>
      </c>
      <c r="B329" s="26" t="str">
        <f t="shared" si="25"/>
        <v>noviembre</v>
      </c>
      <c r="C329" s="24"/>
      <c r="D329" s="24"/>
      <c r="E329" s="24"/>
      <c r="F329" s="24"/>
      <c r="G329" s="24"/>
      <c r="H329" s="24"/>
      <c r="I329" s="24"/>
      <c r="J329" s="24"/>
      <c r="K329" s="27">
        <f t="shared" si="26"/>
        <v>0</v>
      </c>
      <c r="L329" s="28">
        <f>IF(A329="","",C329*'Menu Productos'!$F$5+D329*'Menu Productos'!$F$6+E329*'Menu Productos'!$F$7+F329*'Menu Productos'!$F$8+G329*'Menu Productos'!$F$9+H329*'Menu Productos'!$F$10+I329*'Menu Productos'!$F$11+J329*'Menu Productos'!$F$12)</f>
        <v>0</v>
      </c>
      <c r="M329" s="28">
        <f>IF(A329="","",C329*'Menu Productos'!$E$5+D329*'Menu Productos'!$E$6+E329*'Menu Productos'!$E$7+F329*'Menu Productos'!$E$8+G329*'Menu Productos'!$E$9+H329*'Menu Productos'!$E$10+I329*'Menu Productos'!$E$11+J329*'Menu Productos'!$E$12)</f>
        <v>0</v>
      </c>
      <c r="N329" s="29"/>
      <c r="O329" s="28">
        <f t="shared" si="27"/>
        <v>0</v>
      </c>
      <c r="P329" s="29"/>
      <c r="Q329" s="29"/>
      <c r="R329" s="29"/>
      <c r="S329" s="28">
        <f t="shared" si="28"/>
        <v>0</v>
      </c>
      <c r="T329" s="28">
        <f t="shared" si="29"/>
        <v>0</v>
      </c>
      <c r="U329" s="12"/>
      <c r="V329" s="12" t="str">
        <f ca="1">IF(A329&gt;TODAY(),"FUTURO",IF(AND(K329=0,N329=0,S329=0),"SIN MOVIMIENTO",IF(ABS(T329)&lt;='Metas y Control'!$B$6,"OK","REVISAR CAJA")))</f>
        <v>FUTURO</v>
      </c>
    </row>
    <row r="330" spans="1:22" x14ac:dyDescent="0.3">
      <c r="A330" s="25">
        <f>IF(YEAR(A329+1)=Dashboard!$B$2,A329+1,"")</f>
        <v>46348</v>
      </c>
      <c r="B330" s="26" t="str">
        <f t="shared" si="25"/>
        <v>noviembre</v>
      </c>
      <c r="C330" s="24"/>
      <c r="D330" s="24"/>
      <c r="E330" s="24"/>
      <c r="F330" s="24"/>
      <c r="G330" s="24"/>
      <c r="H330" s="24"/>
      <c r="I330" s="24"/>
      <c r="J330" s="24"/>
      <c r="K330" s="27">
        <f t="shared" si="26"/>
        <v>0</v>
      </c>
      <c r="L330" s="28">
        <f>IF(A330="","",C330*'Menu Productos'!$F$5+D330*'Menu Productos'!$F$6+E330*'Menu Productos'!$F$7+F330*'Menu Productos'!$F$8+G330*'Menu Productos'!$F$9+H330*'Menu Productos'!$F$10+I330*'Menu Productos'!$F$11+J330*'Menu Productos'!$F$12)</f>
        <v>0</v>
      </c>
      <c r="M330" s="28">
        <f>IF(A330="","",C330*'Menu Productos'!$E$5+D330*'Menu Productos'!$E$6+E330*'Menu Productos'!$E$7+F330*'Menu Productos'!$E$8+G330*'Menu Productos'!$E$9+H330*'Menu Productos'!$E$10+I330*'Menu Productos'!$E$11+J330*'Menu Productos'!$E$12)</f>
        <v>0</v>
      </c>
      <c r="N330" s="29"/>
      <c r="O330" s="28">
        <f t="shared" si="27"/>
        <v>0</v>
      </c>
      <c r="P330" s="29"/>
      <c r="Q330" s="29"/>
      <c r="R330" s="29"/>
      <c r="S330" s="28">
        <f t="shared" si="28"/>
        <v>0</v>
      </c>
      <c r="T330" s="28">
        <f t="shared" si="29"/>
        <v>0</v>
      </c>
      <c r="U330" s="12"/>
      <c r="V330" s="12" t="str">
        <f ca="1">IF(A330&gt;TODAY(),"FUTURO",IF(AND(K330=0,N330=0,S330=0),"SIN MOVIMIENTO",IF(ABS(T330)&lt;='Metas y Control'!$B$6,"OK","REVISAR CAJA")))</f>
        <v>FUTURO</v>
      </c>
    </row>
    <row r="331" spans="1:22" x14ac:dyDescent="0.3">
      <c r="A331" s="25">
        <f>IF(YEAR(A330+1)=Dashboard!$B$2,A330+1,"")</f>
        <v>46349</v>
      </c>
      <c r="B331" s="26" t="str">
        <f t="shared" si="25"/>
        <v>noviembre</v>
      </c>
      <c r="C331" s="24"/>
      <c r="D331" s="24"/>
      <c r="E331" s="24"/>
      <c r="F331" s="24"/>
      <c r="G331" s="24"/>
      <c r="H331" s="24"/>
      <c r="I331" s="24"/>
      <c r="J331" s="24"/>
      <c r="K331" s="27">
        <f t="shared" si="26"/>
        <v>0</v>
      </c>
      <c r="L331" s="28">
        <f>IF(A331="","",C331*'Menu Productos'!$F$5+D331*'Menu Productos'!$F$6+E331*'Menu Productos'!$F$7+F331*'Menu Productos'!$F$8+G331*'Menu Productos'!$F$9+H331*'Menu Productos'!$F$10+I331*'Menu Productos'!$F$11+J331*'Menu Productos'!$F$12)</f>
        <v>0</v>
      </c>
      <c r="M331" s="28">
        <f>IF(A331="","",C331*'Menu Productos'!$E$5+D331*'Menu Productos'!$E$6+E331*'Menu Productos'!$E$7+F331*'Menu Productos'!$E$8+G331*'Menu Productos'!$E$9+H331*'Menu Productos'!$E$10+I331*'Menu Productos'!$E$11+J331*'Menu Productos'!$E$12)</f>
        <v>0</v>
      </c>
      <c r="N331" s="29"/>
      <c r="O331" s="28">
        <f t="shared" si="27"/>
        <v>0</v>
      </c>
      <c r="P331" s="29"/>
      <c r="Q331" s="29"/>
      <c r="R331" s="29"/>
      <c r="S331" s="28">
        <f t="shared" si="28"/>
        <v>0</v>
      </c>
      <c r="T331" s="28">
        <f t="shared" si="29"/>
        <v>0</v>
      </c>
      <c r="U331" s="12"/>
      <c r="V331" s="12" t="str">
        <f ca="1">IF(A331&gt;TODAY(),"FUTURO",IF(AND(K331=0,N331=0,S331=0),"SIN MOVIMIENTO",IF(ABS(T331)&lt;='Metas y Control'!$B$6,"OK","REVISAR CAJA")))</f>
        <v>FUTURO</v>
      </c>
    </row>
    <row r="332" spans="1:22" x14ac:dyDescent="0.3">
      <c r="A332" s="25">
        <f>IF(YEAR(A331+1)=Dashboard!$B$2,A331+1,"")</f>
        <v>46350</v>
      </c>
      <c r="B332" s="26" t="str">
        <f t="shared" si="25"/>
        <v>noviembre</v>
      </c>
      <c r="C332" s="24"/>
      <c r="D332" s="24"/>
      <c r="E332" s="24"/>
      <c r="F332" s="24"/>
      <c r="G332" s="24"/>
      <c r="H332" s="24"/>
      <c r="I332" s="24"/>
      <c r="J332" s="24"/>
      <c r="K332" s="27">
        <f t="shared" si="26"/>
        <v>0</v>
      </c>
      <c r="L332" s="28">
        <f>IF(A332="","",C332*'Menu Productos'!$F$5+D332*'Menu Productos'!$F$6+E332*'Menu Productos'!$F$7+F332*'Menu Productos'!$F$8+G332*'Menu Productos'!$F$9+H332*'Menu Productos'!$F$10+I332*'Menu Productos'!$F$11+J332*'Menu Productos'!$F$12)</f>
        <v>0</v>
      </c>
      <c r="M332" s="28">
        <f>IF(A332="","",C332*'Menu Productos'!$E$5+D332*'Menu Productos'!$E$6+E332*'Menu Productos'!$E$7+F332*'Menu Productos'!$E$8+G332*'Menu Productos'!$E$9+H332*'Menu Productos'!$E$10+I332*'Menu Productos'!$E$11+J332*'Menu Productos'!$E$12)</f>
        <v>0</v>
      </c>
      <c r="N332" s="29"/>
      <c r="O332" s="28">
        <f t="shared" si="27"/>
        <v>0</v>
      </c>
      <c r="P332" s="29"/>
      <c r="Q332" s="29"/>
      <c r="R332" s="29"/>
      <c r="S332" s="28">
        <f t="shared" si="28"/>
        <v>0</v>
      </c>
      <c r="T332" s="28">
        <f t="shared" si="29"/>
        <v>0</v>
      </c>
      <c r="U332" s="12"/>
      <c r="V332" s="12" t="str">
        <f ca="1">IF(A332&gt;TODAY(),"FUTURO",IF(AND(K332=0,N332=0,S332=0),"SIN MOVIMIENTO",IF(ABS(T332)&lt;='Metas y Control'!$B$6,"OK","REVISAR CAJA")))</f>
        <v>FUTURO</v>
      </c>
    </row>
    <row r="333" spans="1:22" x14ac:dyDescent="0.3">
      <c r="A333" s="25">
        <f>IF(YEAR(A332+1)=Dashboard!$B$2,A332+1,"")</f>
        <v>46351</v>
      </c>
      <c r="B333" s="26" t="str">
        <f t="shared" si="25"/>
        <v>noviembre</v>
      </c>
      <c r="C333" s="24"/>
      <c r="D333" s="24"/>
      <c r="E333" s="24"/>
      <c r="F333" s="24"/>
      <c r="G333" s="24"/>
      <c r="H333" s="24"/>
      <c r="I333" s="24"/>
      <c r="J333" s="24"/>
      <c r="K333" s="27">
        <f t="shared" si="26"/>
        <v>0</v>
      </c>
      <c r="L333" s="28">
        <f>IF(A333="","",C333*'Menu Productos'!$F$5+D333*'Menu Productos'!$F$6+E333*'Menu Productos'!$F$7+F333*'Menu Productos'!$F$8+G333*'Menu Productos'!$F$9+H333*'Menu Productos'!$F$10+I333*'Menu Productos'!$F$11+J333*'Menu Productos'!$F$12)</f>
        <v>0</v>
      </c>
      <c r="M333" s="28">
        <f>IF(A333="","",C333*'Menu Productos'!$E$5+D333*'Menu Productos'!$E$6+E333*'Menu Productos'!$E$7+F333*'Menu Productos'!$E$8+G333*'Menu Productos'!$E$9+H333*'Menu Productos'!$E$10+I333*'Menu Productos'!$E$11+J333*'Menu Productos'!$E$12)</f>
        <v>0</v>
      </c>
      <c r="N333" s="29"/>
      <c r="O333" s="28">
        <f t="shared" si="27"/>
        <v>0</v>
      </c>
      <c r="P333" s="29"/>
      <c r="Q333" s="29"/>
      <c r="R333" s="29"/>
      <c r="S333" s="28">
        <f t="shared" si="28"/>
        <v>0</v>
      </c>
      <c r="T333" s="28">
        <f t="shared" si="29"/>
        <v>0</v>
      </c>
      <c r="U333" s="12"/>
      <c r="V333" s="12" t="str">
        <f ca="1">IF(A333&gt;TODAY(),"FUTURO",IF(AND(K333=0,N333=0,S333=0),"SIN MOVIMIENTO",IF(ABS(T333)&lt;='Metas y Control'!$B$6,"OK","REVISAR CAJA")))</f>
        <v>FUTURO</v>
      </c>
    </row>
    <row r="334" spans="1:22" x14ac:dyDescent="0.3">
      <c r="A334" s="25">
        <f>IF(YEAR(A333+1)=Dashboard!$B$2,A333+1,"")</f>
        <v>46352</v>
      </c>
      <c r="B334" s="26" t="str">
        <f t="shared" si="25"/>
        <v>noviembre</v>
      </c>
      <c r="C334" s="24"/>
      <c r="D334" s="24"/>
      <c r="E334" s="24"/>
      <c r="F334" s="24"/>
      <c r="G334" s="24"/>
      <c r="H334" s="24"/>
      <c r="I334" s="24"/>
      <c r="J334" s="24"/>
      <c r="K334" s="27">
        <f t="shared" si="26"/>
        <v>0</v>
      </c>
      <c r="L334" s="28">
        <f>IF(A334="","",C334*'Menu Productos'!$F$5+D334*'Menu Productos'!$F$6+E334*'Menu Productos'!$F$7+F334*'Menu Productos'!$F$8+G334*'Menu Productos'!$F$9+H334*'Menu Productos'!$F$10+I334*'Menu Productos'!$F$11+J334*'Menu Productos'!$F$12)</f>
        <v>0</v>
      </c>
      <c r="M334" s="28">
        <f>IF(A334="","",C334*'Menu Productos'!$E$5+D334*'Menu Productos'!$E$6+E334*'Menu Productos'!$E$7+F334*'Menu Productos'!$E$8+G334*'Menu Productos'!$E$9+H334*'Menu Productos'!$E$10+I334*'Menu Productos'!$E$11+J334*'Menu Productos'!$E$12)</f>
        <v>0</v>
      </c>
      <c r="N334" s="29"/>
      <c r="O334" s="28">
        <f t="shared" si="27"/>
        <v>0</v>
      </c>
      <c r="P334" s="29"/>
      <c r="Q334" s="29"/>
      <c r="R334" s="29"/>
      <c r="S334" s="28">
        <f t="shared" si="28"/>
        <v>0</v>
      </c>
      <c r="T334" s="28">
        <f t="shared" si="29"/>
        <v>0</v>
      </c>
      <c r="U334" s="12"/>
      <c r="V334" s="12" t="str">
        <f ca="1">IF(A334&gt;TODAY(),"FUTURO",IF(AND(K334=0,N334=0,S334=0),"SIN MOVIMIENTO",IF(ABS(T334)&lt;='Metas y Control'!$B$6,"OK","REVISAR CAJA")))</f>
        <v>FUTURO</v>
      </c>
    </row>
    <row r="335" spans="1:22" x14ac:dyDescent="0.3">
      <c r="A335" s="25">
        <f>IF(YEAR(A334+1)=Dashboard!$B$2,A334+1,"")</f>
        <v>46353</v>
      </c>
      <c r="B335" s="26" t="str">
        <f t="shared" si="25"/>
        <v>noviembre</v>
      </c>
      <c r="C335" s="24"/>
      <c r="D335" s="24"/>
      <c r="E335" s="24"/>
      <c r="F335" s="24"/>
      <c r="G335" s="24"/>
      <c r="H335" s="24"/>
      <c r="I335" s="24"/>
      <c r="J335" s="24"/>
      <c r="K335" s="27">
        <f t="shared" si="26"/>
        <v>0</v>
      </c>
      <c r="L335" s="28">
        <f>IF(A335="","",C335*'Menu Productos'!$F$5+D335*'Menu Productos'!$F$6+E335*'Menu Productos'!$F$7+F335*'Menu Productos'!$F$8+G335*'Menu Productos'!$F$9+H335*'Menu Productos'!$F$10+I335*'Menu Productos'!$F$11+J335*'Menu Productos'!$F$12)</f>
        <v>0</v>
      </c>
      <c r="M335" s="28">
        <f>IF(A335="","",C335*'Menu Productos'!$E$5+D335*'Menu Productos'!$E$6+E335*'Menu Productos'!$E$7+F335*'Menu Productos'!$E$8+G335*'Menu Productos'!$E$9+H335*'Menu Productos'!$E$10+I335*'Menu Productos'!$E$11+J335*'Menu Productos'!$E$12)</f>
        <v>0</v>
      </c>
      <c r="N335" s="29"/>
      <c r="O335" s="28">
        <f t="shared" si="27"/>
        <v>0</v>
      </c>
      <c r="P335" s="29"/>
      <c r="Q335" s="29"/>
      <c r="R335" s="29"/>
      <c r="S335" s="28">
        <f t="shared" si="28"/>
        <v>0</v>
      </c>
      <c r="T335" s="28">
        <f t="shared" si="29"/>
        <v>0</v>
      </c>
      <c r="U335" s="12"/>
      <c r="V335" s="12" t="str">
        <f ca="1">IF(A335&gt;TODAY(),"FUTURO",IF(AND(K335=0,N335=0,S335=0),"SIN MOVIMIENTO",IF(ABS(T335)&lt;='Metas y Control'!$B$6,"OK","REVISAR CAJA")))</f>
        <v>FUTURO</v>
      </c>
    </row>
    <row r="336" spans="1:22" x14ac:dyDescent="0.3">
      <c r="A336" s="25">
        <f>IF(YEAR(A335+1)=Dashboard!$B$2,A335+1,"")</f>
        <v>46354</v>
      </c>
      <c r="B336" s="26" t="str">
        <f t="shared" si="25"/>
        <v>noviembre</v>
      </c>
      <c r="C336" s="24"/>
      <c r="D336" s="24"/>
      <c r="E336" s="24"/>
      <c r="F336" s="24"/>
      <c r="G336" s="24"/>
      <c r="H336" s="24"/>
      <c r="I336" s="24"/>
      <c r="J336" s="24"/>
      <c r="K336" s="27">
        <f t="shared" si="26"/>
        <v>0</v>
      </c>
      <c r="L336" s="28">
        <f>IF(A336="","",C336*'Menu Productos'!$F$5+D336*'Menu Productos'!$F$6+E336*'Menu Productos'!$F$7+F336*'Menu Productos'!$F$8+G336*'Menu Productos'!$F$9+H336*'Menu Productos'!$F$10+I336*'Menu Productos'!$F$11+J336*'Menu Productos'!$F$12)</f>
        <v>0</v>
      </c>
      <c r="M336" s="28">
        <f>IF(A336="","",C336*'Menu Productos'!$E$5+D336*'Menu Productos'!$E$6+E336*'Menu Productos'!$E$7+F336*'Menu Productos'!$E$8+G336*'Menu Productos'!$E$9+H336*'Menu Productos'!$E$10+I336*'Menu Productos'!$E$11+J336*'Menu Productos'!$E$12)</f>
        <v>0</v>
      </c>
      <c r="N336" s="29"/>
      <c r="O336" s="28">
        <f t="shared" si="27"/>
        <v>0</v>
      </c>
      <c r="P336" s="29"/>
      <c r="Q336" s="29"/>
      <c r="R336" s="29"/>
      <c r="S336" s="28">
        <f t="shared" si="28"/>
        <v>0</v>
      </c>
      <c r="T336" s="28">
        <f t="shared" si="29"/>
        <v>0</v>
      </c>
      <c r="U336" s="12"/>
      <c r="V336" s="12" t="str">
        <f ca="1">IF(A336&gt;TODAY(),"FUTURO",IF(AND(K336=0,N336=0,S336=0),"SIN MOVIMIENTO",IF(ABS(T336)&lt;='Metas y Control'!$B$6,"OK","REVISAR CAJA")))</f>
        <v>FUTURO</v>
      </c>
    </row>
    <row r="337" spans="1:22" x14ac:dyDescent="0.3">
      <c r="A337" s="25">
        <f>IF(YEAR(A336+1)=Dashboard!$B$2,A336+1,"")</f>
        <v>46355</v>
      </c>
      <c r="B337" s="26" t="str">
        <f t="shared" si="25"/>
        <v>noviembre</v>
      </c>
      <c r="C337" s="24"/>
      <c r="D337" s="24"/>
      <c r="E337" s="24"/>
      <c r="F337" s="24"/>
      <c r="G337" s="24"/>
      <c r="H337" s="24"/>
      <c r="I337" s="24"/>
      <c r="J337" s="24"/>
      <c r="K337" s="27">
        <f t="shared" si="26"/>
        <v>0</v>
      </c>
      <c r="L337" s="28">
        <f>IF(A337="","",C337*'Menu Productos'!$F$5+D337*'Menu Productos'!$F$6+E337*'Menu Productos'!$F$7+F337*'Menu Productos'!$F$8+G337*'Menu Productos'!$F$9+H337*'Menu Productos'!$F$10+I337*'Menu Productos'!$F$11+J337*'Menu Productos'!$F$12)</f>
        <v>0</v>
      </c>
      <c r="M337" s="28">
        <f>IF(A337="","",C337*'Menu Productos'!$E$5+D337*'Menu Productos'!$E$6+E337*'Menu Productos'!$E$7+F337*'Menu Productos'!$E$8+G337*'Menu Productos'!$E$9+H337*'Menu Productos'!$E$10+I337*'Menu Productos'!$E$11+J337*'Menu Productos'!$E$12)</f>
        <v>0</v>
      </c>
      <c r="N337" s="29"/>
      <c r="O337" s="28">
        <f t="shared" si="27"/>
        <v>0</v>
      </c>
      <c r="P337" s="29"/>
      <c r="Q337" s="29"/>
      <c r="R337" s="29"/>
      <c r="S337" s="28">
        <f t="shared" si="28"/>
        <v>0</v>
      </c>
      <c r="T337" s="28">
        <f t="shared" si="29"/>
        <v>0</v>
      </c>
      <c r="U337" s="12"/>
      <c r="V337" s="12" t="str">
        <f ca="1">IF(A337&gt;TODAY(),"FUTURO",IF(AND(K337=0,N337=0,S337=0),"SIN MOVIMIENTO",IF(ABS(T337)&lt;='Metas y Control'!$B$6,"OK","REVISAR CAJA")))</f>
        <v>FUTURO</v>
      </c>
    </row>
    <row r="338" spans="1:22" x14ac:dyDescent="0.3">
      <c r="A338" s="25">
        <f>IF(YEAR(A337+1)=Dashboard!$B$2,A337+1,"")</f>
        <v>46356</v>
      </c>
      <c r="B338" s="26" t="str">
        <f t="shared" si="25"/>
        <v>noviembre</v>
      </c>
      <c r="C338" s="24"/>
      <c r="D338" s="24"/>
      <c r="E338" s="24"/>
      <c r="F338" s="24"/>
      <c r="G338" s="24"/>
      <c r="H338" s="24"/>
      <c r="I338" s="24"/>
      <c r="J338" s="24"/>
      <c r="K338" s="27">
        <f t="shared" si="26"/>
        <v>0</v>
      </c>
      <c r="L338" s="28">
        <f>IF(A338="","",C338*'Menu Productos'!$F$5+D338*'Menu Productos'!$F$6+E338*'Menu Productos'!$F$7+F338*'Menu Productos'!$F$8+G338*'Menu Productos'!$F$9+H338*'Menu Productos'!$F$10+I338*'Menu Productos'!$F$11+J338*'Menu Productos'!$F$12)</f>
        <v>0</v>
      </c>
      <c r="M338" s="28">
        <f>IF(A338="","",C338*'Menu Productos'!$E$5+D338*'Menu Productos'!$E$6+E338*'Menu Productos'!$E$7+F338*'Menu Productos'!$E$8+G338*'Menu Productos'!$E$9+H338*'Menu Productos'!$E$10+I338*'Menu Productos'!$E$11+J338*'Menu Productos'!$E$12)</f>
        <v>0</v>
      </c>
      <c r="N338" s="29"/>
      <c r="O338" s="28">
        <f t="shared" si="27"/>
        <v>0</v>
      </c>
      <c r="P338" s="29"/>
      <c r="Q338" s="29"/>
      <c r="R338" s="29"/>
      <c r="S338" s="28">
        <f t="shared" si="28"/>
        <v>0</v>
      </c>
      <c r="T338" s="28">
        <f t="shared" si="29"/>
        <v>0</v>
      </c>
      <c r="U338" s="12"/>
      <c r="V338" s="12" t="str">
        <f ca="1">IF(A338&gt;TODAY(),"FUTURO",IF(AND(K338=0,N338=0,S338=0),"SIN MOVIMIENTO",IF(ABS(T338)&lt;='Metas y Control'!$B$6,"OK","REVISAR CAJA")))</f>
        <v>FUTURO</v>
      </c>
    </row>
    <row r="339" spans="1:22" x14ac:dyDescent="0.3">
      <c r="A339" s="25">
        <f>IF(YEAR(A338+1)=Dashboard!$B$2,A338+1,"")</f>
        <v>46357</v>
      </c>
      <c r="B339" s="26" t="str">
        <f t="shared" si="25"/>
        <v>diciembre</v>
      </c>
      <c r="C339" s="24"/>
      <c r="D339" s="24"/>
      <c r="E339" s="24"/>
      <c r="F339" s="24"/>
      <c r="G339" s="24"/>
      <c r="H339" s="24"/>
      <c r="I339" s="24"/>
      <c r="J339" s="24"/>
      <c r="K339" s="27">
        <f t="shared" si="26"/>
        <v>0</v>
      </c>
      <c r="L339" s="28">
        <f>IF(A339="","",C339*'Menu Productos'!$F$5+D339*'Menu Productos'!$F$6+E339*'Menu Productos'!$F$7+F339*'Menu Productos'!$F$8+G339*'Menu Productos'!$F$9+H339*'Menu Productos'!$F$10+I339*'Menu Productos'!$F$11+J339*'Menu Productos'!$F$12)</f>
        <v>0</v>
      </c>
      <c r="M339" s="28">
        <f>IF(A339="","",C339*'Menu Productos'!$E$5+D339*'Menu Productos'!$E$6+E339*'Menu Productos'!$E$7+F339*'Menu Productos'!$E$8+G339*'Menu Productos'!$E$9+H339*'Menu Productos'!$E$10+I339*'Menu Productos'!$E$11+J339*'Menu Productos'!$E$12)</f>
        <v>0</v>
      </c>
      <c r="N339" s="29"/>
      <c r="O339" s="28">
        <f t="shared" si="27"/>
        <v>0</v>
      </c>
      <c r="P339" s="29"/>
      <c r="Q339" s="29"/>
      <c r="R339" s="29"/>
      <c r="S339" s="28">
        <f t="shared" si="28"/>
        <v>0</v>
      </c>
      <c r="T339" s="28">
        <f t="shared" si="29"/>
        <v>0</v>
      </c>
      <c r="U339" s="12"/>
      <c r="V339" s="12" t="str">
        <f ca="1">IF(A339&gt;TODAY(),"FUTURO",IF(AND(K339=0,N339=0,S339=0),"SIN MOVIMIENTO",IF(ABS(T339)&lt;='Metas y Control'!$B$6,"OK","REVISAR CAJA")))</f>
        <v>FUTURO</v>
      </c>
    </row>
    <row r="340" spans="1:22" x14ac:dyDescent="0.3">
      <c r="A340" s="25">
        <f>IF(YEAR(A339+1)=Dashboard!$B$2,A339+1,"")</f>
        <v>46358</v>
      </c>
      <c r="B340" s="26" t="str">
        <f t="shared" si="25"/>
        <v>diciembre</v>
      </c>
      <c r="C340" s="24"/>
      <c r="D340" s="24"/>
      <c r="E340" s="24"/>
      <c r="F340" s="24"/>
      <c r="G340" s="24"/>
      <c r="H340" s="24"/>
      <c r="I340" s="24"/>
      <c r="J340" s="24"/>
      <c r="K340" s="27">
        <f t="shared" si="26"/>
        <v>0</v>
      </c>
      <c r="L340" s="28">
        <f>IF(A340="","",C340*'Menu Productos'!$F$5+D340*'Menu Productos'!$F$6+E340*'Menu Productos'!$F$7+F340*'Menu Productos'!$F$8+G340*'Menu Productos'!$F$9+H340*'Menu Productos'!$F$10+I340*'Menu Productos'!$F$11+J340*'Menu Productos'!$F$12)</f>
        <v>0</v>
      </c>
      <c r="M340" s="28">
        <f>IF(A340="","",C340*'Menu Productos'!$E$5+D340*'Menu Productos'!$E$6+E340*'Menu Productos'!$E$7+F340*'Menu Productos'!$E$8+G340*'Menu Productos'!$E$9+H340*'Menu Productos'!$E$10+I340*'Menu Productos'!$E$11+J340*'Menu Productos'!$E$12)</f>
        <v>0</v>
      </c>
      <c r="N340" s="29"/>
      <c r="O340" s="28">
        <f t="shared" si="27"/>
        <v>0</v>
      </c>
      <c r="P340" s="29"/>
      <c r="Q340" s="29"/>
      <c r="R340" s="29"/>
      <c r="S340" s="28">
        <f t="shared" si="28"/>
        <v>0</v>
      </c>
      <c r="T340" s="28">
        <f t="shared" si="29"/>
        <v>0</v>
      </c>
      <c r="U340" s="12"/>
      <c r="V340" s="12" t="str">
        <f ca="1">IF(A340&gt;TODAY(),"FUTURO",IF(AND(K340=0,N340=0,S340=0),"SIN MOVIMIENTO",IF(ABS(T340)&lt;='Metas y Control'!$B$6,"OK","REVISAR CAJA")))</f>
        <v>FUTURO</v>
      </c>
    </row>
    <row r="341" spans="1:22" x14ac:dyDescent="0.3">
      <c r="A341" s="25">
        <f>IF(YEAR(A340+1)=Dashboard!$B$2,A340+1,"")</f>
        <v>46359</v>
      </c>
      <c r="B341" s="26" t="str">
        <f t="shared" si="25"/>
        <v>diciembre</v>
      </c>
      <c r="C341" s="24"/>
      <c r="D341" s="24"/>
      <c r="E341" s="24"/>
      <c r="F341" s="24"/>
      <c r="G341" s="24"/>
      <c r="H341" s="24"/>
      <c r="I341" s="24"/>
      <c r="J341" s="24"/>
      <c r="K341" s="27">
        <f t="shared" si="26"/>
        <v>0</v>
      </c>
      <c r="L341" s="28">
        <f>IF(A341="","",C341*'Menu Productos'!$F$5+D341*'Menu Productos'!$F$6+E341*'Menu Productos'!$F$7+F341*'Menu Productos'!$F$8+G341*'Menu Productos'!$F$9+H341*'Menu Productos'!$F$10+I341*'Menu Productos'!$F$11+J341*'Menu Productos'!$F$12)</f>
        <v>0</v>
      </c>
      <c r="M341" s="28">
        <f>IF(A341="","",C341*'Menu Productos'!$E$5+D341*'Menu Productos'!$E$6+E341*'Menu Productos'!$E$7+F341*'Menu Productos'!$E$8+G341*'Menu Productos'!$E$9+H341*'Menu Productos'!$E$10+I341*'Menu Productos'!$E$11+J341*'Menu Productos'!$E$12)</f>
        <v>0</v>
      </c>
      <c r="N341" s="29"/>
      <c r="O341" s="28">
        <f t="shared" si="27"/>
        <v>0</v>
      </c>
      <c r="P341" s="29"/>
      <c r="Q341" s="29"/>
      <c r="R341" s="29"/>
      <c r="S341" s="28">
        <f t="shared" si="28"/>
        <v>0</v>
      </c>
      <c r="T341" s="28">
        <f t="shared" si="29"/>
        <v>0</v>
      </c>
      <c r="U341" s="12"/>
      <c r="V341" s="12" t="str">
        <f ca="1">IF(A341&gt;TODAY(),"FUTURO",IF(AND(K341=0,N341=0,S341=0),"SIN MOVIMIENTO",IF(ABS(T341)&lt;='Metas y Control'!$B$6,"OK","REVISAR CAJA")))</f>
        <v>FUTURO</v>
      </c>
    </row>
    <row r="342" spans="1:22" x14ac:dyDescent="0.3">
      <c r="A342" s="25">
        <f>IF(YEAR(A341+1)=Dashboard!$B$2,A341+1,"")</f>
        <v>46360</v>
      </c>
      <c r="B342" s="26" t="str">
        <f t="shared" si="25"/>
        <v>diciembre</v>
      </c>
      <c r="C342" s="24"/>
      <c r="D342" s="24"/>
      <c r="E342" s="24"/>
      <c r="F342" s="24"/>
      <c r="G342" s="24"/>
      <c r="H342" s="24"/>
      <c r="I342" s="24"/>
      <c r="J342" s="24"/>
      <c r="K342" s="27">
        <f t="shared" si="26"/>
        <v>0</v>
      </c>
      <c r="L342" s="28">
        <f>IF(A342="","",C342*'Menu Productos'!$F$5+D342*'Menu Productos'!$F$6+E342*'Menu Productos'!$F$7+F342*'Menu Productos'!$F$8+G342*'Menu Productos'!$F$9+H342*'Menu Productos'!$F$10+I342*'Menu Productos'!$F$11+J342*'Menu Productos'!$F$12)</f>
        <v>0</v>
      </c>
      <c r="M342" s="28">
        <f>IF(A342="","",C342*'Menu Productos'!$E$5+D342*'Menu Productos'!$E$6+E342*'Menu Productos'!$E$7+F342*'Menu Productos'!$E$8+G342*'Menu Productos'!$E$9+H342*'Menu Productos'!$E$10+I342*'Menu Productos'!$E$11+J342*'Menu Productos'!$E$12)</f>
        <v>0</v>
      </c>
      <c r="N342" s="29"/>
      <c r="O342" s="28">
        <f t="shared" si="27"/>
        <v>0</v>
      </c>
      <c r="P342" s="29"/>
      <c r="Q342" s="29"/>
      <c r="R342" s="29"/>
      <c r="S342" s="28">
        <f t="shared" si="28"/>
        <v>0</v>
      </c>
      <c r="T342" s="28">
        <f t="shared" si="29"/>
        <v>0</v>
      </c>
      <c r="U342" s="12"/>
      <c r="V342" s="12" t="str">
        <f ca="1">IF(A342&gt;TODAY(),"FUTURO",IF(AND(K342=0,N342=0,S342=0),"SIN MOVIMIENTO",IF(ABS(T342)&lt;='Metas y Control'!$B$6,"OK","REVISAR CAJA")))</f>
        <v>FUTURO</v>
      </c>
    </row>
    <row r="343" spans="1:22" x14ac:dyDescent="0.3">
      <c r="A343" s="25">
        <f>IF(YEAR(A342+1)=Dashboard!$B$2,A342+1,"")</f>
        <v>46361</v>
      </c>
      <c r="B343" s="26" t="str">
        <f t="shared" si="25"/>
        <v>diciembre</v>
      </c>
      <c r="C343" s="24"/>
      <c r="D343" s="24"/>
      <c r="E343" s="24"/>
      <c r="F343" s="24"/>
      <c r="G343" s="24"/>
      <c r="H343" s="24"/>
      <c r="I343" s="24"/>
      <c r="J343" s="24"/>
      <c r="K343" s="27">
        <f t="shared" si="26"/>
        <v>0</v>
      </c>
      <c r="L343" s="28">
        <f>IF(A343="","",C343*'Menu Productos'!$F$5+D343*'Menu Productos'!$F$6+E343*'Menu Productos'!$F$7+F343*'Menu Productos'!$F$8+G343*'Menu Productos'!$F$9+H343*'Menu Productos'!$F$10+I343*'Menu Productos'!$F$11+J343*'Menu Productos'!$F$12)</f>
        <v>0</v>
      </c>
      <c r="M343" s="28">
        <f>IF(A343="","",C343*'Menu Productos'!$E$5+D343*'Menu Productos'!$E$6+E343*'Menu Productos'!$E$7+F343*'Menu Productos'!$E$8+G343*'Menu Productos'!$E$9+H343*'Menu Productos'!$E$10+I343*'Menu Productos'!$E$11+J343*'Menu Productos'!$E$12)</f>
        <v>0</v>
      </c>
      <c r="N343" s="29"/>
      <c r="O343" s="28">
        <f t="shared" si="27"/>
        <v>0</v>
      </c>
      <c r="P343" s="29"/>
      <c r="Q343" s="29"/>
      <c r="R343" s="29"/>
      <c r="S343" s="28">
        <f t="shared" si="28"/>
        <v>0</v>
      </c>
      <c r="T343" s="28">
        <f t="shared" si="29"/>
        <v>0</v>
      </c>
      <c r="U343" s="12"/>
      <c r="V343" s="12" t="str">
        <f ca="1">IF(A343&gt;TODAY(),"FUTURO",IF(AND(K343=0,N343=0,S343=0),"SIN MOVIMIENTO",IF(ABS(T343)&lt;='Metas y Control'!$B$6,"OK","REVISAR CAJA")))</f>
        <v>FUTURO</v>
      </c>
    </row>
    <row r="344" spans="1:22" x14ac:dyDescent="0.3">
      <c r="A344" s="25">
        <f>IF(YEAR(A343+1)=Dashboard!$B$2,A343+1,"")</f>
        <v>46362</v>
      </c>
      <c r="B344" s="26" t="str">
        <f t="shared" si="25"/>
        <v>diciembre</v>
      </c>
      <c r="C344" s="24"/>
      <c r="D344" s="24"/>
      <c r="E344" s="24"/>
      <c r="F344" s="24"/>
      <c r="G344" s="24"/>
      <c r="H344" s="24"/>
      <c r="I344" s="24"/>
      <c r="J344" s="24"/>
      <c r="K344" s="27">
        <f t="shared" si="26"/>
        <v>0</v>
      </c>
      <c r="L344" s="28">
        <f>IF(A344="","",C344*'Menu Productos'!$F$5+D344*'Menu Productos'!$F$6+E344*'Menu Productos'!$F$7+F344*'Menu Productos'!$F$8+G344*'Menu Productos'!$F$9+H344*'Menu Productos'!$F$10+I344*'Menu Productos'!$F$11+J344*'Menu Productos'!$F$12)</f>
        <v>0</v>
      </c>
      <c r="M344" s="28">
        <f>IF(A344="","",C344*'Menu Productos'!$E$5+D344*'Menu Productos'!$E$6+E344*'Menu Productos'!$E$7+F344*'Menu Productos'!$E$8+G344*'Menu Productos'!$E$9+H344*'Menu Productos'!$E$10+I344*'Menu Productos'!$E$11+J344*'Menu Productos'!$E$12)</f>
        <v>0</v>
      </c>
      <c r="N344" s="29"/>
      <c r="O344" s="28">
        <f t="shared" si="27"/>
        <v>0</v>
      </c>
      <c r="P344" s="29"/>
      <c r="Q344" s="29"/>
      <c r="R344" s="29"/>
      <c r="S344" s="28">
        <f t="shared" si="28"/>
        <v>0</v>
      </c>
      <c r="T344" s="28">
        <f t="shared" si="29"/>
        <v>0</v>
      </c>
      <c r="U344" s="12"/>
      <c r="V344" s="12" t="str">
        <f ca="1">IF(A344&gt;TODAY(),"FUTURO",IF(AND(K344=0,N344=0,S344=0),"SIN MOVIMIENTO",IF(ABS(T344)&lt;='Metas y Control'!$B$6,"OK","REVISAR CAJA")))</f>
        <v>FUTURO</v>
      </c>
    </row>
    <row r="345" spans="1:22" x14ac:dyDescent="0.3">
      <c r="A345" s="25">
        <f>IF(YEAR(A344+1)=Dashboard!$B$2,A344+1,"")</f>
        <v>46363</v>
      </c>
      <c r="B345" s="26" t="str">
        <f t="shared" si="25"/>
        <v>diciembre</v>
      </c>
      <c r="C345" s="24"/>
      <c r="D345" s="24"/>
      <c r="E345" s="24"/>
      <c r="F345" s="24"/>
      <c r="G345" s="24"/>
      <c r="H345" s="24"/>
      <c r="I345" s="24"/>
      <c r="J345" s="24"/>
      <c r="K345" s="27">
        <f t="shared" si="26"/>
        <v>0</v>
      </c>
      <c r="L345" s="28">
        <f>IF(A345="","",C345*'Menu Productos'!$F$5+D345*'Menu Productos'!$F$6+E345*'Menu Productos'!$F$7+F345*'Menu Productos'!$F$8+G345*'Menu Productos'!$F$9+H345*'Menu Productos'!$F$10+I345*'Menu Productos'!$F$11+J345*'Menu Productos'!$F$12)</f>
        <v>0</v>
      </c>
      <c r="M345" s="28">
        <f>IF(A345="","",C345*'Menu Productos'!$E$5+D345*'Menu Productos'!$E$6+E345*'Menu Productos'!$E$7+F345*'Menu Productos'!$E$8+G345*'Menu Productos'!$E$9+H345*'Menu Productos'!$E$10+I345*'Menu Productos'!$E$11+J345*'Menu Productos'!$E$12)</f>
        <v>0</v>
      </c>
      <c r="N345" s="29"/>
      <c r="O345" s="28">
        <f t="shared" si="27"/>
        <v>0</v>
      </c>
      <c r="P345" s="29"/>
      <c r="Q345" s="29"/>
      <c r="R345" s="29"/>
      <c r="S345" s="28">
        <f t="shared" si="28"/>
        <v>0</v>
      </c>
      <c r="T345" s="28">
        <f t="shared" si="29"/>
        <v>0</v>
      </c>
      <c r="U345" s="12"/>
      <c r="V345" s="12" t="str">
        <f ca="1">IF(A345&gt;TODAY(),"FUTURO",IF(AND(K345=0,N345=0,S345=0),"SIN MOVIMIENTO",IF(ABS(T345)&lt;='Metas y Control'!$B$6,"OK","REVISAR CAJA")))</f>
        <v>FUTURO</v>
      </c>
    </row>
    <row r="346" spans="1:22" x14ac:dyDescent="0.3">
      <c r="A346" s="25">
        <f>IF(YEAR(A345+1)=Dashboard!$B$2,A345+1,"")</f>
        <v>46364</v>
      </c>
      <c r="B346" s="26" t="str">
        <f t="shared" si="25"/>
        <v>diciembre</v>
      </c>
      <c r="C346" s="24"/>
      <c r="D346" s="24"/>
      <c r="E346" s="24"/>
      <c r="F346" s="24"/>
      <c r="G346" s="24"/>
      <c r="H346" s="24"/>
      <c r="I346" s="24"/>
      <c r="J346" s="24"/>
      <c r="K346" s="27">
        <f t="shared" si="26"/>
        <v>0</v>
      </c>
      <c r="L346" s="28">
        <f>IF(A346="","",C346*'Menu Productos'!$F$5+D346*'Menu Productos'!$F$6+E346*'Menu Productos'!$F$7+F346*'Menu Productos'!$F$8+G346*'Menu Productos'!$F$9+H346*'Menu Productos'!$F$10+I346*'Menu Productos'!$F$11+J346*'Menu Productos'!$F$12)</f>
        <v>0</v>
      </c>
      <c r="M346" s="28">
        <f>IF(A346="","",C346*'Menu Productos'!$E$5+D346*'Menu Productos'!$E$6+E346*'Menu Productos'!$E$7+F346*'Menu Productos'!$E$8+G346*'Menu Productos'!$E$9+H346*'Menu Productos'!$E$10+I346*'Menu Productos'!$E$11+J346*'Menu Productos'!$E$12)</f>
        <v>0</v>
      </c>
      <c r="N346" s="29"/>
      <c r="O346" s="28">
        <f t="shared" si="27"/>
        <v>0</v>
      </c>
      <c r="P346" s="29"/>
      <c r="Q346" s="29"/>
      <c r="R346" s="29"/>
      <c r="S346" s="28">
        <f t="shared" si="28"/>
        <v>0</v>
      </c>
      <c r="T346" s="28">
        <f t="shared" si="29"/>
        <v>0</v>
      </c>
      <c r="U346" s="12"/>
      <c r="V346" s="12" t="str">
        <f ca="1">IF(A346&gt;TODAY(),"FUTURO",IF(AND(K346=0,N346=0,S346=0),"SIN MOVIMIENTO",IF(ABS(T346)&lt;='Metas y Control'!$B$6,"OK","REVISAR CAJA")))</f>
        <v>FUTURO</v>
      </c>
    </row>
    <row r="347" spans="1:22" x14ac:dyDescent="0.3">
      <c r="A347" s="25">
        <f>IF(YEAR(A346+1)=Dashboard!$B$2,A346+1,"")</f>
        <v>46365</v>
      </c>
      <c r="B347" s="26" t="str">
        <f t="shared" si="25"/>
        <v>diciembre</v>
      </c>
      <c r="C347" s="24"/>
      <c r="D347" s="24"/>
      <c r="E347" s="24"/>
      <c r="F347" s="24"/>
      <c r="G347" s="24"/>
      <c r="H347" s="24"/>
      <c r="I347" s="24"/>
      <c r="J347" s="24"/>
      <c r="K347" s="27">
        <f t="shared" si="26"/>
        <v>0</v>
      </c>
      <c r="L347" s="28">
        <f>IF(A347="","",C347*'Menu Productos'!$F$5+D347*'Menu Productos'!$F$6+E347*'Menu Productos'!$F$7+F347*'Menu Productos'!$F$8+G347*'Menu Productos'!$F$9+H347*'Menu Productos'!$F$10+I347*'Menu Productos'!$F$11+J347*'Menu Productos'!$F$12)</f>
        <v>0</v>
      </c>
      <c r="M347" s="28">
        <f>IF(A347="","",C347*'Menu Productos'!$E$5+D347*'Menu Productos'!$E$6+E347*'Menu Productos'!$E$7+F347*'Menu Productos'!$E$8+G347*'Menu Productos'!$E$9+H347*'Menu Productos'!$E$10+I347*'Menu Productos'!$E$11+J347*'Menu Productos'!$E$12)</f>
        <v>0</v>
      </c>
      <c r="N347" s="29"/>
      <c r="O347" s="28">
        <f t="shared" si="27"/>
        <v>0</v>
      </c>
      <c r="P347" s="29"/>
      <c r="Q347" s="29"/>
      <c r="R347" s="29"/>
      <c r="S347" s="28">
        <f t="shared" si="28"/>
        <v>0</v>
      </c>
      <c r="T347" s="28">
        <f t="shared" si="29"/>
        <v>0</v>
      </c>
      <c r="U347" s="12"/>
      <c r="V347" s="12" t="str">
        <f ca="1">IF(A347&gt;TODAY(),"FUTURO",IF(AND(K347=0,N347=0,S347=0),"SIN MOVIMIENTO",IF(ABS(T347)&lt;='Metas y Control'!$B$6,"OK","REVISAR CAJA")))</f>
        <v>FUTURO</v>
      </c>
    </row>
    <row r="348" spans="1:22" x14ac:dyDescent="0.3">
      <c r="A348" s="25">
        <f>IF(YEAR(A347+1)=Dashboard!$B$2,A347+1,"")</f>
        <v>46366</v>
      </c>
      <c r="B348" s="26" t="str">
        <f t="shared" si="25"/>
        <v>diciembre</v>
      </c>
      <c r="C348" s="24"/>
      <c r="D348" s="24"/>
      <c r="E348" s="24"/>
      <c r="F348" s="24"/>
      <c r="G348" s="24"/>
      <c r="H348" s="24"/>
      <c r="I348" s="24"/>
      <c r="J348" s="24"/>
      <c r="K348" s="27">
        <f t="shared" si="26"/>
        <v>0</v>
      </c>
      <c r="L348" s="28">
        <f>IF(A348="","",C348*'Menu Productos'!$F$5+D348*'Menu Productos'!$F$6+E348*'Menu Productos'!$F$7+F348*'Menu Productos'!$F$8+G348*'Menu Productos'!$F$9+H348*'Menu Productos'!$F$10+I348*'Menu Productos'!$F$11+J348*'Menu Productos'!$F$12)</f>
        <v>0</v>
      </c>
      <c r="M348" s="28">
        <f>IF(A348="","",C348*'Menu Productos'!$E$5+D348*'Menu Productos'!$E$6+E348*'Menu Productos'!$E$7+F348*'Menu Productos'!$E$8+G348*'Menu Productos'!$E$9+H348*'Menu Productos'!$E$10+I348*'Menu Productos'!$E$11+J348*'Menu Productos'!$E$12)</f>
        <v>0</v>
      </c>
      <c r="N348" s="29"/>
      <c r="O348" s="28">
        <f t="shared" si="27"/>
        <v>0</v>
      </c>
      <c r="P348" s="29"/>
      <c r="Q348" s="29"/>
      <c r="R348" s="29"/>
      <c r="S348" s="28">
        <f t="shared" si="28"/>
        <v>0</v>
      </c>
      <c r="T348" s="28">
        <f t="shared" si="29"/>
        <v>0</v>
      </c>
      <c r="U348" s="12"/>
      <c r="V348" s="12" t="str">
        <f ca="1">IF(A348&gt;TODAY(),"FUTURO",IF(AND(K348=0,N348=0,S348=0),"SIN MOVIMIENTO",IF(ABS(T348)&lt;='Metas y Control'!$B$6,"OK","REVISAR CAJA")))</f>
        <v>FUTURO</v>
      </c>
    </row>
    <row r="349" spans="1:22" x14ac:dyDescent="0.3">
      <c r="A349" s="25">
        <f>IF(YEAR(A348+1)=Dashboard!$B$2,A348+1,"")</f>
        <v>46367</v>
      </c>
      <c r="B349" s="26" t="str">
        <f t="shared" si="25"/>
        <v>diciembre</v>
      </c>
      <c r="C349" s="24"/>
      <c r="D349" s="24"/>
      <c r="E349" s="24"/>
      <c r="F349" s="24"/>
      <c r="G349" s="24"/>
      <c r="H349" s="24"/>
      <c r="I349" s="24"/>
      <c r="J349" s="24"/>
      <c r="K349" s="27">
        <f t="shared" si="26"/>
        <v>0</v>
      </c>
      <c r="L349" s="28">
        <f>IF(A349="","",C349*'Menu Productos'!$F$5+D349*'Menu Productos'!$F$6+E349*'Menu Productos'!$F$7+F349*'Menu Productos'!$F$8+G349*'Menu Productos'!$F$9+H349*'Menu Productos'!$F$10+I349*'Menu Productos'!$F$11+J349*'Menu Productos'!$F$12)</f>
        <v>0</v>
      </c>
      <c r="M349" s="28">
        <f>IF(A349="","",C349*'Menu Productos'!$E$5+D349*'Menu Productos'!$E$6+E349*'Menu Productos'!$E$7+F349*'Menu Productos'!$E$8+G349*'Menu Productos'!$E$9+H349*'Menu Productos'!$E$10+I349*'Menu Productos'!$E$11+J349*'Menu Productos'!$E$12)</f>
        <v>0</v>
      </c>
      <c r="N349" s="29"/>
      <c r="O349" s="28">
        <f t="shared" si="27"/>
        <v>0</v>
      </c>
      <c r="P349" s="29"/>
      <c r="Q349" s="29"/>
      <c r="R349" s="29"/>
      <c r="S349" s="28">
        <f t="shared" si="28"/>
        <v>0</v>
      </c>
      <c r="T349" s="28">
        <f t="shared" si="29"/>
        <v>0</v>
      </c>
      <c r="U349" s="12"/>
      <c r="V349" s="12" t="str">
        <f ca="1">IF(A349&gt;TODAY(),"FUTURO",IF(AND(K349=0,N349=0,S349=0),"SIN MOVIMIENTO",IF(ABS(T349)&lt;='Metas y Control'!$B$6,"OK","REVISAR CAJA")))</f>
        <v>FUTURO</v>
      </c>
    </row>
    <row r="350" spans="1:22" x14ac:dyDescent="0.3">
      <c r="A350" s="25">
        <f>IF(YEAR(A349+1)=Dashboard!$B$2,A349+1,"")</f>
        <v>46368</v>
      </c>
      <c r="B350" s="26" t="str">
        <f t="shared" si="25"/>
        <v>diciembre</v>
      </c>
      <c r="C350" s="24"/>
      <c r="D350" s="24"/>
      <c r="E350" s="24"/>
      <c r="F350" s="24"/>
      <c r="G350" s="24"/>
      <c r="H350" s="24"/>
      <c r="I350" s="24"/>
      <c r="J350" s="24"/>
      <c r="K350" s="27">
        <f t="shared" si="26"/>
        <v>0</v>
      </c>
      <c r="L350" s="28">
        <f>IF(A350="","",C350*'Menu Productos'!$F$5+D350*'Menu Productos'!$F$6+E350*'Menu Productos'!$F$7+F350*'Menu Productos'!$F$8+G350*'Menu Productos'!$F$9+H350*'Menu Productos'!$F$10+I350*'Menu Productos'!$F$11+J350*'Menu Productos'!$F$12)</f>
        <v>0</v>
      </c>
      <c r="M350" s="28">
        <f>IF(A350="","",C350*'Menu Productos'!$E$5+D350*'Menu Productos'!$E$6+E350*'Menu Productos'!$E$7+F350*'Menu Productos'!$E$8+G350*'Menu Productos'!$E$9+H350*'Menu Productos'!$E$10+I350*'Menu Productos'!$E$11+J350*'Menu Productos'!$E$12)</f>
        <v>0</v>
      </c>
      <c r="N350" s="29"/>
      <c r="O350" s="28">
        <f t="shared" si="27"/>
        <v>0</v>
      </c>
      <c r="P350" s="29"/>
      <c r="Q350" s="29"/>
      <c r="R350" s="29"/>
      <c r="S350" s="28">
        <f t="shared" si="28"/>
        <v>0</v>
      </c>
      <c r="T350" s="28">
        <f t="shared" si="29"/>
        <v>0</v>
      </c>
      <c r="U350" s="12"/>
      <c r="V350" s="12" t="str">
        <f ca="1">IF(A350&gt;TODAY(),"FUTURO",IF(AND(K350=0,N350=0,S350=0),"SIN MOVIMIENTO",IF(ABS(T350)&lt;='Metas y Control'!$B$6,"OK","REVISAR CAJA")))</f>
        <v>FUTURO</v>
      </c>
    </row>
    <row r="351" spans="1:22" x14ac:dyDescent="0.3">
      <c r="A351" s="25">
        <f>IF(YEAR(A350+1)=Dashboard!$B$2,A350+1,"")</f>
        <v>46369</v>
      </c>
      <c r="B351" s="26" t="str">
        <f t="shared" si="25"/>
        <v>diciembre</v>
      </c>
      <c r="C351" s="24"/>
      <c r="D351" s="24"/>
      <c r="E351" s="24"/>
      <c r="F351" s="24"/>
      <c r="G351" s="24"/>
      <c r="H351" s="24"/>
      <c r="I351" s="24"/>
      <c r="J351" s="24"/>
      <c r="K351" s="27">
        <f t="shared" si="26"/>
        <v>0</v>
      </c>
      <c r="L351" s="28">
        <f>IF(A351="","",C351*'Menu Productos'!$F$5+D351*'Menu Productos'!$F$6+E351*'Menu Productos'!$F$7+F351*'Menu Productos'!$F$8+G351*'Menu Productos'!$F$9+H351*'Menu Productos'!$F$10+I351*'Menu Productos'!$F$11+J351*'Menu Productos'!$F$12)</f>
        <v>0</v>
      </c>
      <c r="M351" s="28">
        <f>IF(A351="","",C351*'Menu Productos'!$E$5+D351*'Menu Productos'!$E$6+E351*'Menu Productos'!$E$7+F351*'Menu Productos'!$E$8+G351*'Menu Productos'!$E$9+H351*'Menu Productos'!$E$10+I351*'Menu Productos'!$E$11+J351*'Menu Productos'!$E$12)</f>
        <v>0</v>
      </c>
      <c r="N351" s="29"/>
      <c r="O351" s="28">
        <f t="shared" si="27"/>
        <v>0</v>
      </c>
      <c r="P351" s="29"/>
      <c r="Q351" s="29"/>
      <c r="R351" s="29"/>
      <c r="S351" s="28">
        <f t="shared" si="28"/>
        <v>0</v>
      </c>
      <c r="T351" s="28">
        <f t="shared" si="29"/>
        <v>0</v>
      </c>
      <c r="U351" s="12"/>
      <c r="V351" s="12" t="str">
        <f ca="1">IF(A351&gt;TODAY(),"FUTURO",IF(AND(K351=0,N351=0,S351=0),"SIN MOVIMIENTO",IF(ABS(T351)&lt;='Metas y Control'!$B$6,"OK","REVISAR CAJA")))</f>
        <v>FUTURO</v>
      </c>
    </row>
    <row r="352" spans="1:22" x14ac:dyDescent="0.3">
      <c r="A352" s="25">
        <f>IF(YEAR(A351+1)=Dashboard!$B$2,A351+1,"")</f>
        <v>46370</v>
      </c>
      <c r="B352" s="26" t="str">
        <f t="shared" si="25"/>
        <v>diciembre</v>
      </c>
      <c r="C352" s="24"/>
      <c r="D352" s="24"/>
      <c r="E352" s="24"/>
      <c r="F352" s="24"/>
      <c r="G352" s="24"/>
      <c r="H352" s="24"/>
      <c r="I352" s="24"/>
      <c r="J352" s="24"/>
      <c r="K352" s="27">
        <f t="shared" si="26"/>
        <v>0</v>
      </c>
      <c r="L352" s="28">
        <f>IF(A352="","",C352*'Menu Productos'!$F$5+D352*'Menu Productos'!$F$6+E352*'Menu Productos'!$F$7+F352*'Menu Productos'!$F$8+G352*'Menu Productos'!$F$9+H352*'Menu Productos'!$F$10+I352*'Menu Productos'!$F$11+J352*'Menu Productos'!$F$12)</f>
        <v>0</v>
      </c>
      <c r="M352" s="28">
        <f>IF(A352="","",C352*'Menu Productos'!$E$5+D352*'Menu Productos'!$E$6+E352*'Menu Productos'!$E$7+F352*'Menu Productos'!$E$8+G352*'Menu Productos'!$E$9+H352*'Menu Productos'!$E$10+I352*'Menu Productos'!$E$11+J352*'Menu Productos'!$E$12)</f>
        <v>0</v>
      </c>
      <c r="N352" s="29"/>
      <c r="O352" s="28">
        <f t="shared" si="27"/>
        <v>0</v>
      </c>
      <c r="P352" s="29"/>
      <c r="Q352" s="29"/>
      <c r="R352" s="29"/>
      <c r="S352" s="28">
        <f t="shared" si="28"/>
        <v>0</v>
      </c>
      <c r="T352" s="28">
        <f t="shared" si="29"/>
        <v>0</v>
      </c>
      <c r="U352" s="12"/>
      <c r="V352" s="12" t="str">
        <f ca="1">IF(A352&gt;TODAY(),"FUTURO",IF(AND(K352=0,N352=0,S352=0),"SIN MOVIMIENTO",IF(ABS(T352)&lt;='Metas y Control'!$B$6,"OK","REVISAR CAJA")))</f>
        <v>FUTURO</v>
      </c>
    </row>
    <row r="353" spans="1:22" x14ac:dyDescent="0.3">
      <c r="A353" s="25">
        <f>IF(YEAR(A352+1)=Dashboard!$B$2,A352+1,"")</f>
        <v>46371</v>
      </c>
      <c r="B353" s="26" t="str">
        <f t="shared" si="25"/>
        <v>diciembre</v>
      </c>
      <c r="C353" s="24"/>
      <c r="D353" s="24"/>
      <c r="E353" s="24"/>
      <c r="F353" s="24"/>
      <c r="G353" s="24"/>
      <c r="H353" s="24"/>
      <c r="I353" s="24"/>
      <c r="J353" s="24"/>
      <c r="K353" s="27">
        <f t="shared" si="26"/>
        <v>0</v>
      </c>
      <c r="L353" s="28">
        <f>IF(A353="","",C353*'Menu Productos'!$F$5+D353*'Menu Productos'!$F$6+E353*'Menu Productos'!$F$7+F353*'Menu Productos'!$F$8+G353*'Menu Productos'!$F$9+H353*'Menu Productos'!$F$10+I353*'Menu Productos'!$F$11+J353*'Menu Productos'!$F$12)</f>
        <v>0</v>
      </c>
      <c r="M353" s="28">
        <f>IF(A353="","",C353*'Menu Productos'!$E$5+D353*'Menu Productos'!$E$6+E353*'Menu Productos'!$E$7+F353*'Menu Productos'!$E$8+G353*'Menu Productos'!$E$9+H353*'Menu Productos'!$E$10+I353*'Menu Productos'!$E$11+J353*'Menu Productos'!$E$12)</f>
        <v>0</v>
      </c>
      <c r="N353" s="29"/>
      <c r="O353" s="28">
        <f t="shared" si="27"/>
        <v>0</v>
      </c>
      <c r="P353" s="29"/>
      <c r="Q353" s="29"/>
      <c r="R353" s="29"/>
      <c r="S353" s="28">
        <f t="shared" si="28"/>
        <v>0</v>
      </c>
      <c r="T353" s="28">
        <f t="shared" si="29"/>
        <v>0</v>
      </c>
      <c r="U353" s="12"/>
      <c r="V353" s="12" t="str">
        <f ca="1">IF(A353&gt;TODAY(),"FUTURO",IF(AND(K353=0,N353=0,S353=0),"SIN MOVIMIENTO",IF(ABS(T353)&lt;='Metas y Control'!$B$6,"OK","REVISAR CAJA")))</f>
        <v>FUTURO</v>
      </c>
    </row>
    <row r="354" spans="1:22" x14ac:dyDescent="0.3">
      <c r="A354" s="25">
        <f>IF(YEAR(A353+1)=Dashboard!$B$2,A353+1,"")</f>
        <v>46372</v>
      </c>
      <c r="B354" s="26" t="str">
        <f t="shared" si="25"/>
        <v>diciembre</v>
      </c>
      <c r="C354" s="24"/>
      <c r="D354" s="24"/>
      <c r="E354" s="24"/>
      <c r="F354" s="24"/>
      <c r="G354" s="24"/>
      <c r="H354" s="24"/>
      <c r="I354" s="24"/>
      <c r="J354" s="24"/>
      <c r="K354" s="27">
        <f t="shared" si="26"/>
        <v>0</v>
      </c>
      <c r="L354" s="28">
        <f>IF(A354="","",C354*'Menu Productos'!$F$5+D354*'Menu Productos'!$F$6+E354*'Menu Productos'!$F$7+F354*'Menu Productos'!$F$8+G354*'Menu Productos'!$F$9+H354*'Menu Productos'!$F$10+I354*'Menu Productos'!$F$11+J354*'Menu Productos'!$F$12)</f>
        <v>0</v>
      </c>
      <c r="M354" s="28">
        <f>IF(A354="","",C354*'Menu Productos'!$E$5+D354*'Menu Productos'!$E$6+E354*'Menu Productos'!$E$7+F354*'Menu Productos'!$E$8+G354*'Menu Productos'!$E$9+H354*'Menu Productos'!$E$10+I354*'Menu Productos'!$E$11+J354*'Menu Productos'!$E$12)</f>
        <v>0</v>
      </c>
      <c r="N354" s="29"/>
      <c r="O354" s="28">
        <f t="shared" si="27"/>
        <v>0</v>
      </c>
      <c r="P354" s="29"/>
      <c r="Q354" s="29"/>
      <c r="R354" s="29"/>
      <c r="S354" s="28">
        <f t="shared" si="28"/>
        <v>0</v>
      </c>
      <c r="T354" s="28">
        <f t="shared" si="29"/>
        <v>0</v>
      </c>
      <c r="U354" s="12"/>
      <c r="V354" s="12" t="str">
        <f ca="1">IF(A354&gt;TODAY(),"FUTURO",IF(AND(K354=0,N354=0,S354=0),"SIN MOVIMIENTO",IF(ABS(T354)&lt;='Metas y Control'!$B$6,"OK","REVISAR CAJA")))</f>
        <v>FUTURO</v>
      </c>
    </row>
    <row r="355" spans="1:22" x14ac:dyDescent="0.3">
      <c r="A355" s="25">
        <f>IF(YEAR(A354+1)=Dashboard!$B$2,A354+1,"")</f>
        <v>46373</v>
      </c>
      <c r="B355" s="26" t="str">
        <f t="shared" si="25"/>
        <v>diciembre</v>
      </c>
      <c r="C355" s="24"/>
      <c r="D355" s="24"/>
      <c r="E355" s="24"/>
      <c r="F355" s="24"/>
      <c r="G355" s="24"/>
      <c r="H355" s="24"/>
      <c r="I355" s="24"/>
      <c r="J355" s="24"/>
      <c r="K355" s="27">
        <f t="shared" si="26"/>
        <v>0</v>
      </c>
      <c r="L355" s="28">
        <f>IF(A355="","",C355*'Menu Productos'!$F$5+D355*'Menu Productos'!$F$6+E355*'Menu Productos'!$F$7+F355*'Menu Productos'!$F$8+G355*'Menu Productos'!$F$9+H355*'Menu Productos'!$F$10+I355*'Menu Productos'!$F$11+J355*'Menu Productos'!$F$12)</f>
        <v>0</v>
      </c>
      <c r="M355" s="28">
        <f>IF(A355="","",C355*'Menu Productos'!$E$5+D355*'Menu Productos'!$E$6+E355*'Menu Productos'!$E$7+F355*'Menu Productos'!$E$8+G355*'Menu Productos'!$E$9+H355*'Menu Productos'!$E$10+I355*'Menu Productos'!$E$11+J355*'Menu Productos'!$E$12)</f>
        <v>0</v>
      </c>
      <c r="N355" s="29"/>
      <c r="O355" s="28">
        <f t="shared" si="27"/>
        <v>0</v>
      </c>
      <c r="P355" s="29"/>
      <c r="Q355" s="29"/>
      <c r="R355" s="29"/>
      <c r="S355" s="28">
        <f t="shared" si="28"/>
        <v>0</v>
      </c>
      <c r="T355" s="28">
        <f t="shared" si="29"/>
        <v>0</v>
      </c>
      <c r="U355" s="12"/>
      <c r="V355" s="12" t="str">
        <f ca="1">IF(A355&gt;TODAY(),"FUTURO",IF(AND(K355=0,N355=0,S355=0),"SIN MOVIMIENTO",IF(ABS(T355)&lt;='Metas y Control'!$B$6,"OK","REVISAR CAJA")))</f>
        <v>FUTURO</v>
      </c>
    </row>
    <row r="356" spans="1:22" x14ac:dyDescent="0.3">
      <c r="A356" s="25">
        <f>IF(YEAR(A355+1)=Dashboard!$B$2,A355+1,"")</f>
        <v>46374</v>
      </c>
      <c r="B356" s="26" t="str">
        <f t="shared" si="25"/>
        <v>diciembre</v>
      </c>
      <c r="C356" s="24"/>
      <c r="D356" s="24"/>
      <c r="E356" s="24"/>
      <c r="F356" s="24"/>
      <c r="G356" s="24"/>
      <c r="H356" s="24"/>
      <c r="I356" s="24"/>
      <c r="J356" s="24"/>
      <c r="K356" s="27">
        <f t="shared" si="26"/>
        <v>0</v>
      </c>
      <c r="L356" s="28">
        <f>IF(A356="","",C356*'Menu Productos'!$F$5+D356*'Menu Productos'!$F$6+E356*'Menu Productos'!$F$7+F356*'Menu Productos'!$F$8+G356*'Menu Productos'!$F$9+H356*'Menu Productos'!$F$10+I356*'Menu Productos'!$F$11+J356*'Menu Productos'!$F$12)</f>
        <v>0</v>
      </c>
      <c r="M356" s="28">
        <f>IF(A356="","",C356*'Menu Productos'!$E$5+D356*'Menu Productos'!$E$6+E356*'Menu Productos'!$E$7+F356*'Menu Productos'!$E$8+G356*'Menu Productos'!$E$9+H356*'Menu Productos'!$E$10+I356*'Menu Productos'!$E$11+J356*'Menu Productos'!$E$12)</f>
        <v>0</v>
      </c>
      <c r="N356" s="29"/>
      <c r="O356" s="28">
        <f t="shared" si="27"/>
        <v>0</v>
      </c>
      <c r="P356" s="29"/>
      <c r="Q356" s="29"/>
      <c r="R356" s="29"/>
      <c r="S356" s="28">
        <f t="shared" si="28"/>
        <v>0</v>
      </c>
      <c r="T356" s="28">
        <f t="shared" si="29"/>
        <v>0</v>
      </c>
      <c r="U356" s="12"/>
      <c r="V356" s="12" t="str">
        <f ca="1">IF(A356&gt;TODAY(),"FUTURO",IF(AND(K356=0,N356=0,S356=0),"SIN MOVIMIENTO",IF(ABS(T356)&lt;='Metas y Control'!$B$6,"OK","REVISAR CAJA")))</f>
        <v>FUTURO</v>
      </c>
    </row>
    <row r="357" spans="1:22" x14ac:dyDescent="0.3">
      <c r="A357" s="25">
        <f>IF(YEAR(A356+1)=Dashboard!$B$2,A356+1,"")</f>
        <v>46375</v>
      </c>
      <c r="B357" s="26" t="str">
        <f t="shared" si="25"/>
        <v>diciembre</v>
      </c>
      <c r="C357" s="24"/>
      <c r="D357" s="24"/>
      <c r="E357" s="24"/>
      <c r="F357" s="24"/>
      <c r="G357" s="24"/>
      <c r="H357" s="24"/>
      <c r="I357" s="24"/>
      <c r="J357" s="24"/>
      <c r="K357" s="27">
        <f t="shared" si="26"/>
        <v>0</v>
      </c>
      <c r="L357" s="28">
        <f>IF(A357="","",C357*'Menu Productos'!$F$5+D357*'Menu Productos'!$F$6+E357*'Menu Productos'!$F$7+F357*'Menu Productos'!$F$8+G357*'Menu Productos'!$F$9+H357*'Menu Productos'!$F$10+I357*'Menu Productos'!$F$11+J357*'Menu Productos'!$F$12)</f>
        <v>0</v>
      </c>
      <c r="M357" s="28">
        <f>IF(A357="","",C357*'Menu Productos'!$E$5+D357*'Menu Productos'!$E$6+E357*'Menu Productos'!$E$7+F357*'Menu Productos'!$E$8+G357*'Menu Productos'!$E$9+H357*'Menu Productos'!$E$10+I357*'Menu Productos'!$E$11+J357*'Menu Productos'!$E$12)</f>
        <v>0</v>
      </c>
      <c r="N357" s="29"/>
      <c r="O357" s="28">
        <f t="shared" si="27"/>
        <v>0</v>
      </c>
      <c r="P357" s="29"/>
      <c r="Q357" s="29"/>
      <c r="R357" s="29"/>
      <c r="S357" s="28">
        <f t="shared" si="28"/>
        <v>0</v>
      </c>
      <c r="T357" s="28">
        <f t="shared" si="29"/>
        <v>0</v>
      </c>
      <c r="U357" s="12"/>
      <c r="V357" s="12" t="str">
        <f ca="1">IF(A357&gt;TODAY(),"FUTURO",IF(AND(K357=0,N357=0,S357=0),"SIN MOVIMIENTO",IF(ABS(T357)&lt;='Metas y Control'!$B$6,"OK","REVISAR CAJA")))</f>
        <v>FUTURO</v>
      </c>
    </row>
    <row r="358" spans="1:22" x14ac:dyDescent="0.3">
      <c r="A358" s="25">
        <f>IF(YEAR(A357+1)=Dashboard!$B$2,A357+1,"")</f>
        <v>46376</v>
      </c>
      <c r="B358" s="26" t="str">
        <f t="shared" si="25"/>
        <v>diciembre</v>
      </c>
      <c r="C358" s="24"/>
      <c r="D358" s="24"/>
      <c r="E358" s="24"/>
      <c r="F358" s="24"/>
      <c r="G358" s="24"/>
      <c r="H358" s="24"/>
      <c r="I358" s="24"/>
      <c r="J358" s="24"/>
      <c r="K358" s="27">
        <f t="shared" si="26"/>
        <v>0</v>
      </c>
      <c r="L358" s="28">
        <f>IF(A358="","",C358*'Menu Productos'!$F$5+D358*'Menu Productos'!$F$6+E358*'Menu Productos'!$F$7+F358*'Menu Productos'!$F$8+G358*'Menu Productos'!$F$9+H358*'Menu Productos'!$F$10+I358*'Menu Productos'!$F$11+J358*'Menu Productos'!$F$12)</f>
        <v>0</v>
      </c>
      <c r="M358" s="28">
        <f>IF(A358="","",C358*'Menu Productos'!$E$5+D358*'Menu Productos'!$E$6+E358*'Menu Productos'!$E$7+F358*'Menu Productos'!$E$8+G358*'Menu Productos'!$E$9+H358*'Menu Productos'!$E$10+I358*'Menu Productos'!$E$11+J358*'Menu Productos'!$E$12)</f>
        <v>0</v>
      </c>
      <c r="N358" s="29"/>
      <c r="O358" s="28">
        <f t="shared" si="27"/>
        <v>0</v>
      </c>
      <c r="P358" s="29"/>
      <c r="Q358" s="29"/>
      <c r="R358" s="29"/>
      <c r="S358" s="28">
        <f t="shared" si="28"/>
        <v>0</v>
      </c>
      <c r="T358" s="28">
        <f t="shared" si="29"/>
        <v>0</v>
      </c>
      <c r="U358" s="12"/>
      <c r="V358" s="12" t="str">
        <f ca="1">IF(A358&gt;TODAY(),"FUTURO",IF(AND(K358=0,N358=0,S358=0),"SIN MOVIMIENTO",IF(ABS(T358)&lt;='Metas y Control'!$B$6,"OK","REVISAR CAJA")))</f>
        <v>FUTURO</v>
      </c>
    </row>
    <row r="359" spans="1:22" x14ac:dyDescent="0.3">
      <c r="A359" s="25">
        <f>IF(YEAR(A358+1)=Dashboard!$B$2,A358+1,"")</f>
        <v>46377</v>
      </c>
      <c r="B359" s="26" t="str">
        <f t="shared" si="25"/>
        <v>diciembre</v>
      </c>
      <c r="C359" s="24"/>
      <c r="D359" s="24"/>
      <c r="E359" s="24"/>
      <c r="F359" s="24"/>
      <c r="G359" s="24"/>
      <c r="H359" s="24"/>
      <c r="I359" s="24"/>
      <c r="J359" s="24"/>
      <c r="K359" s="27">
        <f t="shared" si="26"/>
        <v>0</v>
      </c>
      <c r="L359" s="28">
        <f>IF(A359="","",C359*'Menu Productos'!$F$5+D359*'Menu Productos'!$F$6+E359*'Menu Productos'!$F$7+F359*'Menu Productos'!$F$8+G359*'Menu Productos'!$F$9+H359*'Menu Productos'!$F$10+I359*'Menu Productos'!$F$11+J359*'Menu Productos'!$F$12)</f>
        <v>0</v>
      </c>
      <c r="M359" s="28">
        <f>IF(A359="","",C359*'Menu Productos'!$E$5+D359*'Menu Productos'!$E$6+E359*'Menu Productos'!$E$7+F359*'Menu Productos'!$E$8+G359*'Menu Productos'!$E$9+H359*'Menu Productos'!$E$10+I359*'Menu Productos'!$E$11+J359*'Menu Productos'!$E$12)</f>
        <v>0</v>
      </c>
      <c r="N359" s="29"/>
      <c r="O359" s="28">
        <f t="shared" si="27"/>
        <v>0</v>
      </c>
      <c r="P359" s="29"/>
      <c r="Q359" s="29"/>
      <c r="R359" s="29"/>
      <c r="S359" s="28">
        <f t="shared" si="28"/>
        <v>0</v>
      </c>
      <c r="T359" s="28">
        <f t="shared" si="29"/>
        <v>0</v>
      </c>
      <c r="U359" s="12"/>
      <c r="V359" s="12" t="str">
        <f ca="1">IF(A359&gt;TODAY(),"FUTURO",IF(AND(K359=0,N359=0,S359=0),"SIN MOVIMIENTO",IF(ABS(T359)&lt;='Metas y Control'!$B$6,"OK","REVISAR CAJA")))</f>
        <v>FUTURO</v>
      </c>
    </row>
    <row r="360" spans="1:22" x14ac:dyDescent="0.3">
      <c r="A360" s="25">
        <f>IF(YEAR(A359+1)=Dashboard!$B$2,A359+1,"")</f>
        <v>46378</v>
      </c>
      <c r="B360" s="26" t="str">
        <f t="shared" si="25"/>
        <v>diciembre</v>
      </c>
      <c r="C360" s="24"/>
      <c r="D360" s="24"/>
      <c r="E360" s="24"/>
      <c r="F360" s="24"/>
      <c r="G360" s="24"/>
      <c r="H360" s="24"/>
      <c r="I360" s="24"/>
      <c r="J360" s="24"/>
      <c r="K360" s="27">
        <f t="shared" si="26"/>
        <v>0</v>
      </c>
      <c r="L360" s="28">
        <f>IF(A360="","",C360*'Menu Productos'!$F$5+D360*'Menu Productos'!$F$6+E360*'Menu Productos'!$F$7+F360*'Menu Productos'!$F$8+G360*'Menu Productos'!$F$9+H360*'Menu Productos'!$F$10+I360*'Menu Productos'!$F$11+J360*'Menu Productos'!$F$12)</f>
        <v>0</v>
      </c>
      <c r="M360" s="28">
        <f>IF(A360="","",C360*'Menu Productos'!$E$5+D360*'Menu Productos'!$E$6+E360*'Menu Productos'!$E$7+F360*'Menu Productos'!$E$8+G360*'Menu Productos'!$E$9+H360*'Menu Productos'!$E$10+I360*'Menu Productos'!$E$11+J360*'Menu Productos'!$E$12)</f>
        <v>0</v>
      </c>
      <c r="N360" s="29"/>
      <c r="O360" s="28">
        <f t="shared" si="27"/>
        <v>0</v>
      </c>
      <c r="P360" s="29"/>
      <c r="Q360" s="29"/>
      <c r="R360" s="29"/>
      <c r="S360" s="28">
        <f t="shared" si="28"/>
        <v>0</v>
      </c>
      <c r="T360" s="28">
        <f t="shared" si="29"/>
        <v>0</v>
      </c>
      <c r="U360" s="12"/>
      <c r="V360" s="12" t="str">
        <f ca="1">IF(A360&gt;TODAY(),"FUTURO",IF(AND(K360=0,N360=0,S360=0),"SIN MOVIMIENTO",IF(ABS(T360)&lt;='Metas y Control'!$B$6,"OK","REVISAR CAJA")))</f>
        <v>FUTURO</v>
      </c>
    </row>
    <row r="361" spans="1:22" x14ac:dyDescent="0.3">
      <c r="A361" s="25">
        <f>IF(YEAR(A360+1)=Dashboard!$B$2,A360+1,"")</f>
        <v>46379</v>
      </c>
      <c r="B361" s="26" t="str">
        <f t="shared" si="25"/>
        <v>diciembre</v>
      </c>
      <c r="C361" s="24"/>
      <c r="D361" s="24"/>
      <c r="E361" s="24"/>
      <c r="F361" s="24"/>
      <c r="G361" s="24"/>
      <c r="H361" s="24"/>
      <c r="I361" s="24"/>
      <c r="J361" s="24"/>
      <c r="K361" s="27">
        <f t="shared" si="26"/>
        <v>0</v>
      </c>
      <c r="L361" s="28">
        <f>IF(A361="","",C361*'Menu Productos'!$F$5+D361*'Menu Productos'!$F$6+E361*'Menu Productos'!$F$7+F361*'Menu Productos'!$F$8+G361*'Menu Productos'!$F$9+H361*'Menu Productos'!$F$10+I361*'Menu Productos'!$F$11+J361*'Menu Productos'!$F$12)</f>
        <v>0</v>
      </c>
      <c r="M361" s="28">
        <f>IF(A361="","",C361*'Menu Productos'!$E$5+D361*'Menu Productos'!$E$6+E361*'Menu Productos'!$E$7+F361*'Menu Productos'!$E$8+G361*'Menu Productos'!$E$9+H361*'Menu Productos'!$E$10+I361*'Menu Productos'!$E$11+J361*'Menu Productos'!$E$12)</f>
        <v>0</v>
      </c>
      <c r="N361" s="29"/>
      <c r="O361" s="28">
        <f t="shared" si="27"/>
        <v>0</v>
      </c>
      <c r="P361" s="29"/>
      <c r="Q361" s="29"/>
      <c r="R361" s="29"/>
      <c r="S361" s="28">
        <f t="shared" si="28"/>
        <v>0</v>
      </c>
      <c r="T361" s="28">
        <f t="shared" si="29"/>
        <v>0</v>
      </c>
      <c r="U361" s="12"/>
      <c r="V361" s="12" t="str">
        <f ca="1">IF(A361&gt;TODAY(),"FUTURO",IF(AND(K361=0,N361=0,S361=0),"SIN MOVIMIENTO",IF(ABS(T361)&lt;='Metas y Control'!$B$6,"OK","REVISAR CAJA")))</f>
        <v>FUTURO</v>
      </c>
    </row>
    <row r="362" spans="1:22" x14ac:dyDescent="0.3">
      <c r="A362" s="25">
        <f>IF(YEAR(A361+1)=Dashboard!$B$2,A361+1,"")</f>
        <v>46380</v>
      </c>
      <c r="B362" s="26" t="str">
        <f t="shared" si="25"/>
        <v>diciembre</v>
      </c>
      <c r="C362" s="24"/>
      <c r="D362" s="24"/>
      <c r="E362" s="24"/>
      <c r="F362" s="24"/>
      <c r="G362" s="24"/>
      <c r="H362" s="24"/>
      <c r="I362" s="24"/>
      <c r="J362" s="24"/>
      <c r="K362" s="27">
        <f t="shared" si="26"/>
        <v>0</v>
      </c>
      <c r="L362" s="28">
        <f>IF(A362="","",C362*'Menu Productos'!$F$5+D362*'Menu Productos'!$F$6+E362*'Menu Productos'!$F$7+F362*'Menu Productos'!$F$8+G362*'Menu Productos'!$F$9+H362*'Menu Productos'!$F$10+I362*'Menu Productos'!$F$11+J362*'Menu Productos'!$F$12)</f>
        <v>0</v>
      </c>
      <c r="M362" s="28">
        <f>IF(A362="","",C362*'Menu Productos'!$E$5+D362*'Menu Productos'!$E$6+E362*'Menu Productos'!$E$7+F362*'Menu Productos'!$E$8+G362*'Menu Productos'!$E$9+H362*'Menu Productos'!$E$10+I362*'Menu Productos'!$E$11+J362*'Menu Productos'!$E$12)</f>
        <v>0</v>
      </c>
      <c r="N362" s="29"/>
      <c r="O362" s="28">
        <f t="shared" si="27"/>
        <v>0</v>
      </c>
      <c r="P362" s="29"/>
      <c r="Q362" s="29"/>
      <c r="R362" s="29"/>
      <c r="S362" s="28">
        <f t="shared" si="28"/>
        <v>0</v>
      </c>
      <c r="T362" s="28">
        <f t="shared" si="29"/>
        <v>0</v>
      </c>
      <c r="U362" s="12"/>
      <c r="V362" s="12" t="str">
        <f ca="1">IF(A362&gt;TODAY(),"FUTURO",IF(AND(K362=0,N362=0,S362=0),"SIN MOVIMIENTO",IF(ABS(T362)&lt;='Metas y Control'!$B$6,"OK","REVISAR CAJA")))</f>
        <v>FUTURO</v>
      </c>
    </row>
    <row r="363" spans="1:22" x14ac:dyDescent="0.3">
      <c r="A363" s="25">
        <f>IF(YEAR(A362+1)=Dashboard!$B$2,A362+1,"")</f>
        <v>46381</v>
      </c>
      <c r="B363" s="26" t="str">
        <f t="shared" si="25"/>
        <v>diciembre</v>
      </c>
      <c r="C363" s="24"/>
      <c r="D363" s="24"/>
      <c r="E363" s="24"/>
      <c r="F363" s="24"/>
      <c r="G363" s="24"/>
      <c r="H363" s="24"/>
      <c r="I363" s="24"/>
      <c r="J363" s="24"/>
      <c r="K363" s="27">
        <f t="shared" si="26"/>
        <v>0</v>
      </c>
      <c r="L363" s="28">
        <f>IF(A363="","",C363*'Menu Productos'!$F$5+D363*'Menu Productos'!$F$6+E363*'Menu Productos'!$F$7+F363*'Menu Productos'!$F$8+G363*'Menu Productos'!$F$9+H363*'Menu Productos'!$F$10+I363*'Menu Productos'!$F$11+J363*'Menu Productos'!$F$12)</f>
        <v>0</v>
      </c>
      <c r="M363" s="28">
        <f>IF(A363="","",C363*'Menu Productos'!$E$5+D363*'Menu Productos'!$E$6+E363*'Menu Productos'!$E$7+F363*'Menu Productos'!$E$8+G363*'Menu Productos'!$E$9+H363*'Menu Productos'!$E$10+I363*'Menu Productos'!$E$11+J363*'Menu Productos'!$E$12)</f>
        <v>0</v>
      </c>
      <c r="N363" s="29"/>
      <c r="O363" s="28">
        <f t="shared" si="27"/>
        <v>0</v>
      </c>
      <c r="P363" s="29"/>
      <c r="Q363" s="29"/>
      <c r="R363" s="29"/>
      <c r="S363" s="28">
        <f t="shared" si="28"/>
        <v>0</v>
      </c>
      <c r="T363" s="28">
        <f t="shared" si="29"/>
        <v>0</v>
      </c>
      <c r="U363" s="12"/>
      <c r="V363" s="12" t="str">
        <f ca="1">IF(A363&gt;TODAY(),"FUTURO",IF(AND(K363=0,N363=0,S363=0),"SIN MOVIMIENTO",IF(ABS(T363)&lt;='Metas y Control'!$B$6,"OK","REVISAR CAJA")))</f>
        <v>FUTURO</v>
      </c>
    </row>
    <row r="364" spans="1:22" x14ac:dyDescent="0.3">
      <c r="A364" s="25">
        <f>IF(YEAR(A363+1)=Dashboard!$B$2,A363+1,"")</f>
        <v>46382</v>
      </c>
      <c r="B364" s="26" t="str">
        <f t="shared" si="25"/>
        <v>diciembre</v>
      </c>
      <c r="C364" s="24"/>
      <c r="D364" s="24"/>
      <c r="E364" s="24"/>
      <c r="F364" s="24"/>
      <c r="G364" s="24"/>
      <c r="H364" s="24"/>
      <c r="I364" s="24"/>
      <c r="J364" s="24"/>
      <c r="K364" s="27">
        <f t="shared" si="26"/>
        <v>0</v>
      </c>
      <c r="L364" s="28">
        <f>IF(A364="","",C364*'Menu Productos'!$F$5+D364*'Menu Productos'!$F$6+E364*'Menu Productos'!$F$7+F364*'Menu Productos'!$F$8+G364*'Menu Productos'!$F$9+H364*'Menu Productos'!$F$10+I364*'Menu Productos'!$F$11+J364*'Menu Productos'!$F$12)</f>
        <v>0</v>
      </c>
      <c r="M364" s="28">
        <f>IF(A364="","",C364*'Menu Productos'!$E$5+D364*'Menu Productos'!$E$6+E364*'Menu Productos'!$E$7+F364*'Menu Productos'!$E$8+G364*'Menu Productos'!$E$9+H364*'Menu Productos'!$E$10+I364*'Menu Productos'!$E$11+J364*'Menu Productos'!$E$12)</f>
        <v>0</v>
      </c>
      <c r="N364" s="29"/>
      <c r="O364" s="28">
        <f t="shared" si="27"/>
        <v>0</v>
      </c>
      <c r="P364" s="29"/>
      <c r="Q364" s="29"/>
      <c r="R364" s="29"/>
      <c r="S364" s="28">
        <f t="shared" si="28"/>
        <v>0</v>
      </c>
      <c r="T364" s="28">
        <f t="shared" si="29"/>
        <v>0</v>
      </c>
      <c r="U364" s="12"/>
      <c r="V364" s="12" t="str">
        <f ca="1">IF(A364&gt;TODAY(),"FUTURO",IF(AND(K364=0,N364=0,S364=0),"SIN MOVIMIENTO",IF(ABS(T364)&lt;='Metas y Control'!$B$6,"OK","REVISAR CAJA")))</f>
        <v>FUTURO</v>
      </c>
    </row>
    <row r="365" spans="1:22" x14ac:dyDescent="0.3">
      <c r="A365" s="25">
        <f>IF(YEAR(A364+1)=Dashboard!$B$2,A364+1,"")</f>
        <v>46383</v>
      </c>
      <c r="B365" s="26" t="str">
        <f t="shared" si="25"/>
        <v>diciembre</v>
      </c>
      <c r="C365" s="24"/>
      <c r="D365" s="24"/>
      <c r="E365" s="24"/>
      <c r="F365" s="24"/>
      <c r="G365" s="24"/>
      <c r="H365" s="24"/>
      <c r="I365" s="24"/>
      <c r="J365" s="24"/>
      <c r="K365" s="27">
        <f t="shared" si="26"/>
        <v>0</v>
      </c>
      <c r="L365" s="28">
        <f>IF(A365="","",C365*'Menu Productos'!$F$5+D365*'Menu Productos'!$F$6+E365*'Menu Productos'!$F$7+F365*'Menu Productos'!$F$8+G365*'Menu Productos'!$F$9+H365*'Menu Productos'!$F$10+I365*'Menu Productos'!$F$11+J365*'Menu Productos'!$F$12)</f>
        <v>0</v>
      </c>
      <c r="M365" s="28">
        <f>IF(A365="","",C365*'Menu Productos'!$E$5+D365*'Menu Productos'!$E$6+E365*'Menu Productos'!$E$7+F365*'Menu Productos'!$E$8+G365*'Menu Productos'!$E$9+H365*'Menu Productos'!$E$10+I365*'Menu Productos'!$E$11+J365*'Menu Productos'!$E$12)</f>
        <v>0</v>
      </c>
      <c r="N365" s="29"/>
      <c r="O365" s="28">
        <f t="shared" si="27"/>
        <v>0</v>
      </c>
      <c r="P365" s="29"/>
      <c r="Q365" s="29"/>
      <c r="R365" s="29"/>
      <c r="S365" s="28">
        <f t="shared" si="28"/>
        <v>0</v>
      </c>
      <c r="T365" s="28">
        <f t="shared" si="29"/>
        <v>0</v>
      </c>
      <c r="U365" s="12"/>
      <c r="V365" s="12" t="str">
        <f ca="1">IF(A365&gt;TODAY(),"FUTURO",IF(AND(K365=0,N365=0,S365=0),"SIN MOVIMIENTO",IF(ABS(T365)&lt;='Metas y Control'!$B$6,"OK","REVISAR CAJA")))</f>
        <v>FUTURO</v>
      </c>
    </row>
    <row r="366" spans="1:22" x14ac:dyDescent="0.3">
      <c r="A366" s="25">
        <f>IF(YEAR(A365+1)=Dashboard!$B$2,A365+1,"")</f>
        <v>46384</v>
      </c>
      <c r="B366" s="26" t="str">
        <f t="shared" si="25"/>
        <v>diciembre</v>
      </c>
      <c r="C366" s="24"/>
      <c r="D366" s="24"/>
      <c r="E366" s="24"/>
      <c r="F366" s="24"/>
      <c r="G366" s="24"/>
      <c r="H366" s="24"/>
      <c r="I366" s="24"/>
      <c r="J366" s="24"/>
      <c r="K366" s="27">
        <f t="shared" si="26"/>
        <v>0</v>
      </c>
      <c r="L366" s="28">
        <f>IF(A366="","",C366*'Menu Productos'!$F$5+D366*'Menu Productos'!$F$6+E366*'Menu Productos'!$F$7+F366*'Menu Productos'!$F$8+G366*'Menu Productos'!$F$9+H366*'Menu Productos'!$F$10+I366*'Menu Productos'!$F$11+J366*'Menu Productos'!$F$12)</f>
        <v>0</v>
      </c>
      <c r="M366" s="28">
        <f>IF(A366="","",C366*'Menu Productos'!$E$5+D366*'Menu Productos'!$E$6+E366*'Menu Productos'!$E$7+F366*'Menu Productos'!$E$8+G366*'Menu Productos'!$E$9+H366*'Menu Productos'!$E$10+I366*'Menu Productos'!$E$11+J366*'Menu Productos'!$E$12)</f>
        <v>0</v>
      </c>
      <c r="N366" s="29"/>
      <c r="O366" s="28">
        <f t="shared" si="27"/>
        <v>0</v>
      </c>
      <c r="P366" s="29"/>
      <c r="Q366" s="29"/>
      <c r="R366" s="29"/>
      <c r="S366" s="28">
        <f t="shared" si="28"/>
        <v>0</v>
      </c>
      <c r="T366" s="28">
        <f t="shared" si="29"/>
        <v>0</v>
      </c>
      <c r="U366" s="12"/>
      <c r="V366" s="12" t="str">
        <f ca="1">IF(A366&gt;TODAY(),"FUTURO",IF(AND(K366=0,N366=0,S366=0),"SIN MOVIMIENTO",IF(ABS(T366)&lt;='Metas y Control'!$B$6,"OK","REVISAR CAJA")))</f>
        <v>FUTURO</v>
      </c>
    </row>
    <row r="367" spans="1:22" x14ac:dyDescent="0.3">
      <c r="A367" s="25">
        <f>IF(YEAR(A366+1)=Dashboard!$B$2,A366+1,"")</f>
        <v>46385</v>
      </c>
      <c r="B367" s="26" t="str">
        <f t="shared" si="25"/>
        <v>diciembre</v>
      </c>
      <c r="C367" s="24"/>
      <c r="D367" s="24"/>
      <c r="E367" s="24"/>
      <c r="F367" s="24"/>
      <c r="G367" s="24"/>
      <c r="H367" s="24"/>
      <c r="I367" s="24"/>
      <c r="J367" s="24"/>
      <c r="K367" s="27">
        <f t="shared" si="26"/>
        <v>0</v>
      </c>
      <c r="L367" s="28">
        <f>IF(A367="","",C367*'Menu Productos'!$F$5+D367*'Menu Productos'!$F$6+E367*'Menu Productos'!$F$7+F367*'Menu Productos'!$F$8+G367*'Menu Productos'!$F$9+H367*'Menu Productos'!$F$10+I367*'Menu Productos'!$F$11+J367*'Menu Productos'!$F$12)</f>
        <v>0</v>
      </c>
      <c r="M367" s="28">
        <f>IF(A367="","",C367*'Menu Productos'!$E$5+D367*'Menu Productos'!$E$6+E367*'Menu Productos'!$E$7+F367*'Menu Productos'!$E$8+G367*'Menu Productos'!$E$9+H367*'Menu Productos'!$E$10+I367*'Menu Productos'!$E$11+J367*'Menu Productos'!$E$12)</f>
        <v>0</v>
      </c>
      <c r="N367" s="29"/>
      <c r="O367" s="28">
        <f t="shared" si="27"/>
        <v>0</v>
      </c>
      <c r="P367" s="29"/>
      <c r="Q367" s="29"/>
      <c r="R367" s="29"/>
      <c r="S367" s="28">
        <f t="shared" si="28"/>
        <v>0</v>
      </c>
      <c r="T367" s="28">
        <f t="shared" si="29"/>
        <v>0</v>
      </c>
      <c r="U367" s="12"/>
      <c r="V367" s="12" t="str">
        <f ca="1">IF(A367&gt;TODAY(),"FUTURO",IF(AND(K367=0,N367=0,S367=0),"SIN MOVIMIENTO",IF(ABS(T367)&lt;='Metas y Control'!$B$6,"OK","REVISAR CAJA")))</f>
        <v>FUTURO</v>
      </c>
    </row>
    <row r="368" spans="1:22" x14ac:dyDescent="0.3">
      <c r="A368" s="25">
        <f>IF(YEAR(A367+1)=Dashboard!$B$2,A367+1,"")</f>
        <v>46386</v>
      </c>
      <c r="B368" s="26" t="str">
        <f t="shared" si="25"/>
        <v>diciembre</v>
      </c>
      <c r="C368" s="24"/>
      <c r="D368" s="24"/>
      <c r="E368" s="24"/>
      <c r="F368" s="24"/>
      <c r="G368" s="24"/>
      <c r="H368" s="24"/>
      <c r="I368" s="24"/>
      <c r="J368" s="24"/>
      <c r="K368" s="27">
        <f t="shared" si="26"/>
        <v>0</v>
      </c>
      <c r="L368" s="28">
        <f>IF(A368="","",C368*'Menu Productos'!$F$5+D368*'Menu Productos'!$F$6+E368*'Menu Productos'!$F$7+F368*'Menu Productos'!$F$8+G368*'Menu Productos'!$F$9+H368*'Menu Productos'!$F$10+I368*'Menu Productos'!$F$11+J368*'Menu Productos'!$F$12)</f>
        <v>0</v>
      </c>
      <c r="M368" s="28">
        <f>IF(A368="","",C368*'Menu Productos'!$E$5+D368*'Menu Productos'!$E$6+E368*'Menu Productos'!$E$7+F368*'Menu Productos'!$E$8+G368*'Menu Productos'!$E$9+H368*'Menu Productos'!$E$10+I368*'Menu Productos'!$E$11+J368*'Menu Productos'!$E$12)</f>
        <v>0</v>
      </c>
      <c r="N368" s="29"/>
      <c r="O368" s="28">
        <f t="shared" si="27"/>
        <v>0</v>
      </c>
      <c r="P368" s="29"/>
      <c r="Q368" s="29"/>
      <c r="R368" s="29"/>
      <c r="S368" s="28">
        <f t="shared" si="28"/>
        <v>0</v>
      </c>
      <c r="T368" s="28">
        <f t="shared" si="29"/>
        <v>0</v>
      </c>
      <c r="U368" s="12"/>
      <c r="V368" s="12" t="str">
        <f ca="1">IF(A368&gt;TODAY(),"FUTURO",IF(AND(K368=0,N368=0,S368=0),"SIN MOVIMIENTO",IF(ABS(T368)&lt;='Metas y Control'!$B$6,"OK","REVISAR CAJA")))</f>
        <v>FUTURO</v>
      </c>
    </row>
    <row r="369" spans="1:22" x14ac:dyDescent="0.3">
      <c r="A369" s="25">
        <f>IF(YEAR(A368+1)=Dashboard!$B$2,A368+1,"")</f>
        <v>46387</v>
      </c>
      <c r="B369" s="26" t="str">
        <f t="shared" si="25"/>
        <v>diciembre</v>
      </c>
      <c r="C369" s="24"/>
      <c r="D369" s="24"/>
      <c r="E369" s="24"/>
      <c r="F369" s="24"/>
      <c r="G369" s="24"/>
      <c r="H369" s="24"/>
      <c r="I369" s="24"/>
      <c r="J369" s="24"/>
      <c r="K369" s="27">
        <f t="shared" si="26"/>
        <v>0</v>
      </c>
      <c r="L369" s="28">
        <f>IF(A369="","",C369*'Menu Productos'!$F$5+D369*'Menu Productos'!$F$6+E369*'Menu Productos'!$F$7+F369*'Menu Productos'!$F$8+G369*'Menu Productos'!$F$9+H369*'Menu Productos'!$F$10+I369*'Menu Productos'!$F$11+J369*'Menu Productos'!$F$12)</f>
        <v>0</v>
      </c>
      <c r="M369" s="28">
        <f>IF(A369="","",C369*'Menu Productos'!$E$5+D369*'Menu Productos'!$E$6+E369*'Menu Productos'!$E$7+F369*'Menu Productos'!$E$8+G369*'Menu Productos'!$E$9+H369*'Menu Productos'!$E$10+I369*'Menu Productos'!$E$11+J369*'Menu Productos'!$E$12)</f>
        <v>0</v>
      </c>
      <c r="N369" s="29"/>
      <c r="O369" s="28">
        <f t="shared" si="27"/>
        <v>0</v>
      </c>
      <c r="P369" s="29"/>
      <c r="Q369" s="29"/>
      <c r="R369" s="29"/>
      <c r="S369" s="28">
        <f t="shared" si="28"/>
        <v>0</v>
      </c>
      <c r="T369" s="28">
        <f t="shared" si="29"/>
        <v>0</v>
      </c>
      <c r="U369" s="12"/>
      <c r="V369" s="12" t="str">
        <f ca="1">IF(A369&gt;TODAY(),"FUTURO",IF(AND(K369=0,N369=0,S369=0),"SIN MOVIMIENTO",IF(ABS(T369)&lt;='Metas y Control'!$B$6,"OK","REVISAR CAJA")))</f>
        <v>FUTURO</v>
      </c>
    </row>
    <row r="370" spans="1:22" x14ac:dyDescent="0.3">
      <c r="A370" s="25" t="str">
        <f>IF(YEAR(A369+1)=Dashboard!$B$2,A369+1,"")</f>
        <v/>
      </c>
      <c r="B370" s="26" t="str">
        <f t="shared" si="25"/>
        <v/>
      </c>
      <c r="C370" s="24"/>
      <c r="D370" s="24"/>
      <c r="E370" s="24"/>
      <c r="F370" s="24"/>
      <c r="G370" s="24"/>
      <c r="H370" s="24"/>
      <c r="I370" s="24"/>
      <c r="J370" s="24"/>
      <c r="K370" s="27" t="str">
        <f t="shared" si="26"/>
        <v/>
      </c>
      <c r="L370" s="28" t="str">
        <f>IF(A370="","",C370*'Menu Productos'!$F$5+D370*'Menu Productos'!$F$6+E370*'Menu Productos'!$F$7+F370*'Menu Productos'!$F$8+G370*'Menu Productos'!$F$9+H370*'Menu Productos'!$F$10+I370*'Menu Productos'!$F$11+J370*'Menu Productos'!$F$12)</f>
        <v/>
      </c>
      <c r="M370" s="28" t="str">
        <f>IF(A370="","",C370*'Menu Productos'!$E$5+D370*'Menu Productos'!$E$6+E370*'Menu Productos'!$E$7+F370*'Menu Productos'!$E$8+G370*'Menu Productos'!$E$9+H370*'Menu Productos'!$E$10+I370*'Menu Productos'!$E$11+J370*'Menu Productos'!$E$12)</f>
        <v/>
      </c>
      <c r="N370" s="29"/>
      <c r="O370" s="28" t="str">
        <f t="shared" si="27"/>
        <v/>
      </c>
      <c r="P370" s="29"/>
      <c r="Q370" s="29"/>
      <c r="R370" s="29"/>
      <c r="S370" s="28" t="str">
        <f t="shared" si="28"/>
        <v/>
      </c>
      <c r="T370" s="28" t="str">
        <f t="shared" si="29"/>
        <v/>
      </c>
      <c r="U370" s="12"/>
      <c r="V370" s="12" t="str">
        <f ca="1">IF(A370&gt;TODAY(),"FUTURO",IF(AND(K370=0,N370=0,S370=0),"SIN MOVIMIENTO",IF(ABS(T370)&lt;='Metas y Control'!$B$6,"OK","REVISAR CAJA")))</f>
        <v>FUTURO</v>
      </c>
    </row>
  </sheetData>
  <mergeCells count="2">
    <mergeCell ref="A1:U1"/>
    <mergeCell ref="A2:U2"/>
  </mergeCells>
  <conditionalFormatting sqref="O5:O370">
    <cfRule type="expression" dxfId="33" priority="3">
      <formula>O5&lt;0</formula>
    </cfRule>
  </conditionalFormatting>
  <conditionalFormatting sqref="V5:V370">
    <cfRule type="expression" dxfId="12" priority="5">
      <formula>$V5="REVISAR CAJA"</formula>
    </cfRule>
  </conditionalFormatting>
  <conditionalFormatting sqref="V5:V370">
    <cfRule type="expression" dxfId="11" priority="6">
      <formula>$V5="OK"</formula>
    </cfRule>
  </conditionalFormatting>
  <conditionalFormatting sqref="V5:V370">
    <cfRule type="expression" dxfId="10" priority="7">
      <formula>$V5="SIN MOVIMIENTO"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DED60039-0BE5-4410-BDBB-38275907B3BC}">
            <xm:f>AND($A5&lt;=TODAY(),ABS($T5)&gt;'Metas y Control'!$B$6,OR($K5&lt;&gt;0,$N5&lt;&gt;0,$S5&lt;&gt;0))</xm:f>
            <x14:dxf>
              <font>
                <color rgb="FF9C0006"/>
              </font>
              <fill>
                <patternFill patternType="solid">
                  <fgColor indexed="64"/>
                  <bgColor rgb="FFF4CCCC"/>
                </patternFill>
              </fill>
            </x14:dxf>
          </x14:cfRule>
          <xm:sqref>T5:T370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EB61-41A6-454C-8E72-63220F034B5A}">
  <dimension ref="A1:I12"/>
  <sheetViews>
    <sheetView workbookViewId="0">
      <selection activeCell="F5" sqref="F5:F12"/>
    </sheetView>
  </sheetViews>
  <sheetFormatPr baseColWidth="10" defaultRowHeight="14.4" x14ac:dyDescent="0.3"/>
  <cols>
    <col min="1" max="1" width="20.33203125" customWidth="1"/>
    <col min="2" max="9" width="17.5546875" customWidth="1"/>
  </cols>
  <sheetData>
    <row r="1" spans="1:9" ht="23.4" x14ac:dyDescent="0.45">
      <c r="A1" s="22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">
      <c r="A2" s="23" t="s">
        <v>1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4"/>
      <c r="B3" s="4"/>
      <c r="C3" s="4"/>
      <c r="D3" s="4"/>
      <c r="E3" s="4"/>
      <c r="F3" s="4"/>
      <c r="G3" s="4"/>
      <c r="H3" s="4"/>
      <c r="I3" s="4"/>
    </row>
    <row r="4" spans="1:9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spans="1:9" x14ac:dyDescent="0.3">
      <c r="A5" s="4" t="s">
        <v>11</v>
      </c>
      <c r="B5" s="29">
        <v>6014</v>
      </c>
      <c r="C5" s="29">
        <v>0</v>
      </c>
      <c r="D5" s="29">
        <v>2500</v>
      </c>
      <c r="E5" s="48">
        <f>SUM(B5:D5)</f>
        <v>8514</v>
      </c>
      <c r="F5" s="29">
        <v>10000</v>
      </c>
      <c r="G5" s="48">
        <f>F5-E5</f>
        <v>1486</v>
      </c>
      <c r="H5" s="49">
        <f>IFERROR(G5/F5,0)</f>
        <v>0.14860000000000001</v>
      </c>
      <c r="I5" s="49">
        <f>IFERROR(F5/E5-1,0)</f>
        <v>0.17453605825698859</v>
      </c>
    </row>
    <row r="6" spans="1:9" x14ac:dyDescent="0.3">
      <c r="A6" s="4" t="s">
        <v>12</v>
      </c>
      <c r="B6" s="29">
        <v>6014</v>
      </c>
      <c r="C6" s="29">
        <v>1500</v>
      </c>
      <c r="D6" s="29">
        <v>2500</v>
      </c>
      <c r="E6" s="48">
        <f t="shared" ref="E6:E12" si="0">SUM(B6:D6)</f>
        <v>10014</v>
      </c>
      <c r="F6" s="29">
        <v>12500</v>
      </c>
      <c r="G6" s="48">
        <f t="shared" ref="G6:G12" si="1">F6-E6</f>
        <v>2486</v>
      </c>
      <c r="H6" s="49">
        <f t="shared" ref="H6:H12" si="2">IFERROR(G6/F6,0)</f>
        <v>0.19888</v>
      </c>
      <c r="I6" s="49">
        <f t="shared" ref="I6:I12" si="3">IFERROR(F6/E6-1,0)</f>
        <v>0.24825244657479528</v>
      </c>
    </row>
    <row r="7" spans="1:9" x14ac:dyDescent="0.3">
      <c r="A7" s="4" t="s">
        <v>13</v>
      </c>
      <c r="B7" s="29">
        <v>12028</v>
      </c>
      <c r="C7" s="29">
        <v>1500</v>
      </c>
      <c r="D7" s="29">
        <v>5000</v>
      </c>
      <c r="E7" s="48">
        <f t="shared" si="0"/>
        <v>18528</v>
      </c>
      <c r="F7" s="29">
        <v>22000</v>
      </c>
      <c r="G7" s="48">
        <f t="shared" si="1"/>
        <v>3472</v>
      </c>
      <c r="H7" s="49">
        <f t="shared" si="2"/>
        <v>0.15781818181818183</v>
      </c>
      <c r="I7" s="49">
        <f t="shared" si="3"/>
        <v>0.18739205526770286</v>
      </c>
    </row>
    <row r="8" spans="1:9" x14ac:dyDescent="0.3">
      <c r="A8" s="4" t="s">
        <v>14</v>
      </c>
      <c r="B8" s="29">
        <v>6014</v>
      </c>
      <c r="C8" s="29">
        <v>0</v>
      </c>
      <c r="D8" s="29">
        <v>2500</v>
      </c>
      <c r="E8" s="48">
        <f t="shared" si="0"/>
        <v>8514</v>
      </c>
      <c r="F8" s="29">
        <v>10000</v>
      </c>
      <c r="G8" s="48">
        <f t="shared" si="1"/>
        <v>1486</v>
      </c>
      <c r="H8" s="49">
        <f t="shared" si="2"/>
        <v>0.14860000000000001</v>
      </c>
      <c r="I8" s="49">
        <f t="shared" si="3"/>
        <v>0.17453605825698859</v>
      </c>
    </row>
    <row r="9" spans="1:9" x14ac:dyDescent="0.3">
      <c r="A9" s="4" t="s">
        <v>15</v>
      </c>
      <c r="B9" s="29">
        <v>8000</v>
      </c>
      <c r="C9" s="29">
        <v>0</v>
      </c>
      <c r="D9" s="29">
        <v>2500</v>
      </c>
      <c r="E9" s="48">
        <f t="shared" si="0"/>
        <v>10500</v>
      </c>
      <c r="F9" s="29">
        <v>13000</v>
      </c>
      <c r="G9" s="48">
        <f t="shared" si="1"/>
        <v>2500</v>
      </c>
      <c r="H9" s="49">
        <f t="shared" si="2"/>
        <v>0.19230769230769232</v>
      </c>
      <c r="I9" s="49">
        <f t="shared" si="3"/>
        <v>0.23809523809523814</v>
      </c>
    </row>
    <row r="10" spans="1:9" x14ac:dyDescent="0.3">
      <c r="A10" s="4" t="s">
        <v>16</v>
      </c>
      <c r="B10" s="29">
        <v>6500</v>
      </c>
      <c r="C10" s="29">
        <v>1500</v>
      </c>
      <c r="D10" s="29">
        <v>2000</v>
      </c>
      <c r="E10" s="48">
        <f t="shared" si="0"/>
        <v>10000</v>
      </c>
      <c r="F10" s="29">
        <v>13000</v>
      </c>
      <c r="G10" s="48">
        <f t="shared" si="1"/>
        <v>3000</v>
      </c>
      <c r="H10" s="49">
        <f t="shared" si="2"/>
        <v>0.23076923076923078</v>
      </c>
      <c r="I10" s="49">
        <f t="shared" si="3"/>
        <v>0.30000000000000004</v>
      </c>
    </row>
    <row r="11" spans="1:9" x14ac:dyDescent="0.3">
      <c r="A11" s="4" t="s">
        <v>17</v>
      </c>
      <c r="B11" s="29">
        <v>200</v>
      </c>
      <c r="C11" s="29">
        <v>0</v>
      </c>
      <c r="D11" s="29">
        <v>0</v>
      </c>
      <c r="E11" s="48">
        <f t="shared" si="0"/>
        <v>200</v>
      </c>
      <c r="F11" s="29">
        <v>300</v>
      </c>
      <c r="G11" s="48">
        <f t="shared" si="1"/>
        <v>100</v>
      </c>
      <c r="H11" s="49">
        <f t="shared" si="2"/>
        <v>0.33333333333333331</v>
      </c>
      <c r="I11" s="49">
        <f t="shared" si="3"/>
        <v>0.5</v>
      </c>
    </row>
    <row r="12" spans="1:9" x14ac:dyDescent="0.3">
      <c r="A12" s="4" t="s">
        <v>18</v>
      </c>
      <c r="B12" s="29">
        <v>1500</v>
      </c>
      <c r="C12" s="29">
        <v>0</v>
      </c>
      <c r="D12" s="29">
        <v>0</v>
      </c>
      <c r="E12" s="48">
        <f t="shared" si="0"/>
        <v>1500</v>
      </c>
      <c r="F12" s="29">
        <v>2000</v>
      </c>
      <c r="G12" s="48">
        <f t="shared" si="1"/>
        <v>500</v>
      </c>
      <c r="H12" s="49">
        <f t="shared" si="2"/>
        <v>0.25</v>
      </c>
      <c r="I12" s="49">
        <f t="shared" si="3"/>
        <v>0.33333333333333326</v>
      </c>
    </row>
  </sheetData>
  <mergeCells count="2">
    <mergeCell ref="A1:I1"/>
    <mergeCell ref="A2:I2"/>
  </mergeCells>
  <conditionalFormatting sqref="H5:H12">
    <cfRule type="expression" dxfId="20" priority="1">
      <formula>H5&lt;15%</formula>
    </cfRule>
  </conditionalFormatting>
  <conditionalFormatting sqref="H5:H12">
    <cfRule type="expression" dxfId="19" priority="2">
      <formula>AND(H5&gt;=15%,H5&lt;=25%)</formula>
    </cfRule>
  </conditionalFormatting>
  <conditionalFormatting sqref="H5:H12">
    <cfRule type="expression" dxfId="18" priority="3">
      <formula>H5&gt;25%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E4DA-36BE-43C6-92EC-D161ADF592D3}">
  <dimension ref="A1:H23"/>
  <sheetViews>
    <sheetView workbookViewId="0">
      <selection activeCell="D6" sqref="D6"/>
    </sheetView>
  </sheetViews>
  <sheetFormatPr baseColWidth="10" defaultRowHeight="14.4" x14ac:dyDescent="0.3"/>
  <cols>
    <col min="1" max="1" width="26.33203125" bestFit="1" customWidth="1"/>
    <col min="2" max="2" width="23.109375" bestFit="1" customWidth="1"/>
    <col min="3" max="3" width="21.21875" bestFit="1" customWidth="1"/>
    <col min="4" max="4" width="17.77734375" bestFit="1" customWidth="1"/>
    <col min="5" max="5" width="23.6640625" bestFit="1" customWidth="1"/>
    <col min="6" max="6" width="24.109375" bestFit="1" customWidth="1"/>
    <col min="7" max="7" width="26.77734375" bestFit="1" customWidth="1"/>
    <col min="8" max="8" width="26.21875" bestFit="1" customWidth="1"/>
  </cols>
  <sheetData>
    <row r="1" spans="1:8" ht="23.4" x14ac:dyDescent="0.45">
      <c r="A1" s="34" t="s">
        <v>68</v>
      </c>
      <c r="B1" s="34"/>
      <c r="C1" s="34"/>
      <c r="D1" s="34"/>
      <c r="E1" s="34"/>
      <c r="F1" s="34"/>
      <c r="G1" s="34"/>
      <c r="H1" s="34"/>
    </row>
    <row r="2" spans="1:8" x14ac:dyDescent="0.3">
      <c r="A2" s="35" t="s">
        <v>69</v>
      </c>
      <c r="B2" s="35"/>
      <c r="C2" s="35"/>
      <c r="D2" s="35"/>
      <c r="E2" s="35"/>
      <c r="F2" s="35"/>
      <c r="G2" s="35"/>
      <c r="H2" s="35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36" t="s">
        <v>70</v>
      </c>
      <c r="B4" s="37">
        <v>0.1</v>
      </c>
      <c r="C4" s="4"/>
      <c r="D4" s="4"/>
      <c r="E4" s="4"/>
      <c r="F4" s="4"/>
      <c r="G4" s="4"/>
      <c r="H4" s="4"/>
    </row>
    <row r="5" spans="1:8" x14ac:dyDescent="0.3">
      <c r="A5" s="36" t="s">
        <v>71</v>
      </c>
      <c r="B5" s="37">
        <v>0.2</v>
      </c>
      <c r="C5" s="4"/>
      <c r="D5" s="4"/>
      <c r="E5" s="4"/>
      <c r="F5" s="4"/>
      <c r="G5" s="4"/>
      <c r="H5" s="4"/>
    </row>
    <row r="6" spans="1:8" x14ac:dyDescent="0.3">
      <c r="A6" s="36" t="s">
        <v>72</v>
      </c>
      <c r="B6" s="50">
        <v>1</v>
      </c>
      <c r="C6" s="4"/>
      <c r="D6" s="4"/>
      <c r="E6" s="4"/>
      <c r="F6" s="4"/>
      <c r="G6" s="4"/>
      <c r="H6" s="4"/>
    </row>
    <row r="7" spans="1:8" x14ac:dyDescent="0.3">
      <c r="A7" s="36" t="s">
        <v>73</v>
      </c>
      <c r="B7" s="50">
        <f>IFERROR(AVERAGEIF(Dashboard!$D$13:$D$24,"&gt;0"),0)</f>
        <v>0</v>
      </c>
      <c r="C7" s="4"/>
      <c r="D7" s="4"/>
      <c r="E7" s="4"/>
      <c r="F7" s="4"/>
      <c r="G7" s="4"/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4" t="s">
        <v>22</v>
      </c>
      <c r="B10" s="4" t="s">
        <v>92</v>
      </c>
      <c r="C10" s="4" t="s">
        <v>93</v>
      </c>
      <c r="D10" s="4" t="s">
        <v>74</v>
      </c>
      <c r="E10" s="4" t="s">
        <v>94</v>
      </c>
      <c r="F10" s="4" t="s">
        <v>95</v>
      </c>
      <c r="G10" s="4" t="s">
        <v>96</v>
      </c>
      <c r="H10" s="4" t="s">
        <v>97</v>
      </c>
    </row>
    <row r="11" spans="1:8" x14ac:dyDescent="0.3">
      <c r="A11" s="4" t="str">
        <f>Dashboard!A13</f>
        <v>ENERO</v>
      </c>
      <c r="B11" s="31">
        <f>Dashboard!B13</f>
        <v>330000</v>
      </c>
      <c r="C11" s="31">
        <f>IFERROR(AVERAGEIF(Dashboard!$B$13:$B$24,"&gt;0")*(1+$B$4),0)</f>
        <v>363000.00000000006</v>
      </c>
      <c r="D11" s="5">
        <f>IFERROR(B11/C11,0)</f>
        <v>0.90909090909090895</v>
      </c>
      <c r="E11" s="31">
        <f>Dashboard!E13</f>
        <v>54636</v>
      </c>
      <c r="F11" s="31">
        <f>C11*$B$5</f>
        <v>72600.000000000015</v>
      </c>
      <c r="G11" s="31">
        <f>E11-F11</f>
        <v>-17964.000000000015</v>
      </c>
      <c r="H11" s="31">
        <f>IFERROR($B$7/SUMPRODUCT(Dashboard!$E$31:$E$38,'Menu Productos'!$H$5:$H$12),0)</f>
        <v>0</v>
      </c>
    </row>
    <row r="12" spans="1:8" x14ac:dyDescent="0.3">
      <c r="A12" s="4" t="str">
        <f>Dashboard!A14</f>
        <v>FEBRERO</v>
      </c>
      <c r="B12" s="31">
        <f>Dashboard!B14</f>
        <v>0</v>
      </c>
      <c r="C12" s="31">
        <f>IFERROR(AVERAGEIF(Dashboard!$B$13:$B$24,"&gt;0")*(1+$B$4),0)</f>
        <v>363000.00000000006</v>
      </c>
      <c r="D12" s="5">
        <f t="shared" ref="D12:D22" si="0">IFERROR(B12/C12,0)</f>
        <v>0</v>
      </c>
      <c r="E12" s="31">
        <f>Dashboard!E14</f>
        <v>0</v>
      </c>
      <c r="F12" s="31">
        <f t="shared" ref="F12:F22" si="1">C12*$B$5</f>
        <v>72600.000000000015</v>
      </c>
      <c r="G12" s="31">
        <f t="shared" ref="G12:G23" si="2">E12-F12</f>
        <v>-72600.000000000015</v>
      </c>
      <c r="H12" s="31">
        <f>IFERROR($B$7/SUMPRODUCT(Dashboard!$E$31:$E$38,'Menu Productos'!$H$5:$H$12),0)</f>
        <v>0</v>
      </c>
    </row>
    <row r="13" spans="1:8" x14ac:dyDescent="0.3">
      <c r="A13" s="4" t="str">
        <f>Dashboard!A15</f>
        <v>MARZO</v>
      </c>
      <c r="B13" s="31">
        <f>Dashboard!B15</f>
        <v>0</v>
      </c>
      <c r="C13" s="31">
        <f>IFERROR(AVERAGEIF(Dashboard!$B$13:$B$24,"&gt;0")*(1+$B$4),0)</f>
        <v>363000.00000000006</v>
      </c>
      <c r="D13" s="5">
        <f t="shared" si="0"/>
        <v>0</v>
      </c>
      <c r="E13" s="31">
        <f>Dashboard!E15</f>
        <v>0</v>
      </c>
      <c r="F13" s="31">
        <f t="shared" si="1"/>
        <v>72600.000000000015</v>
      </c>
      <c r="G13" s="31">
        <f t="shared" si="2"/>
        <v>-72600.000000000015</v>
      </c>
      <c r="H13" s="31">
        <f>IFERROR($B$7/SUMPRODUCT(Dashboard!$E$31:$E$38,'Menu Productos'!$H$5:$H$12),0)</f>
        <v>0</v>
      </c>
    </row>
    <row r="14" spans="1:8" x14ac:dyDescent="0.3">
      <c r="A14" s="4" t="str">
        <f>Dashboard!A16</f>
        <v>ABRIL</v>
      </c>
      <c r="B14" s="31">
        <f>Dashboard!B16</f>
        <v>0</v>
      </c>
      <c r="C14" s="31">
        <f>IFERROR(AVERAGEIF(Dashboard!$B$13:$B$24,"&gt;0")*(1+$B$4),0)</f>
        <v>363000.00000000006</v>
      </c>
      <c r="D14" s="5">
        <f t="shared" si="0"/>
        <v>0</v>
      </c>
      <c r="E14" s="31">
        <f>Dashboard!E16</f>
        <v>0</v>
      </c>
      <c r="F14" s="31">
        <f t="shared" si="1"/>
        <v>72600.000000000015</v>
      </c>
      <c r="G14" s="31">
        <f t="shared" si="2"/>
        <v>-72600.000000000015</v>
      </c>
      <c r="H14" s="31">
        <f>IFERROR($B$7/SUMPRODUCT(Dashboard!$E$31:$E$38,'Menu Productos'!$H$5:$H$12),0)</f>
        <v>0</v>
      </c>
    </row>
    <row r="15" spans="1:8" x14ac:dyDescent="0.3">
      <c r="A15" s="4" t="str">
        <f>Dashboard!A17</f>
        <v>MAYO</v>
      </c>
      <c r="B15" s="31">
        <f>Dashboard!B17</f>
        <v>0</v>
      </c>
      <c r="C15" s="31">
        <f>IFERROR(AVERAGEIF(Dashboard!$B$13:$B$24,"&gt;0")*(1+$B$4),0)</f>
        <v>363000.00000000006</v>
      </c>
      <c r="D15" s="5">
        <f t="shared" si="0"/>
        <v>0</v>
      </c>
      <c r="E15" s="31">
        <f>Dashboard!E17</f>
        <v>0</v>
      </c>
      <c r="F15" s="31">
        <f t="shared" si="1"/>
        <v>72600.000000000015</v>
      </c>
      <c r="G15" s="31">
        <f t="shared" si="2"/>
        <v>-72600.000000000015</v>
      </c>
      <c r="H15" s="31">
        <f>IFERROR($B$7/SUMPRODUCT(Dashboard!$E$31:$E$38,'Menu Productos'!$H$5:$H$12),0)</f>
        <v>0</v>
      </c>
    </row>
    <row r="16" spans="1:8" x14ac:dyDescent="0.3">
      <c r="A16" s="4" t="str">
        <f>Dashboard!A18</f>
        <v>JUNIO</v>
      </c>
      <c r="B16" s="31">
        <f>Dashboard!B18</f>
        <v>0</v>
      </c>
      <c r="C16" s="31">
        <f>IFERROR(AVERAGEIF(Dashboard!$B$13:$B$24,"&gt;0")*(1+$B$4),0)</f>
        <v>363000.00000000006</v>
      </c>
      <c r="D16" s="5">
        <f t="shared" si="0"/>
        <v>0</v>
      </c>
      <c r="E16" s="31">
        <f>Dashboard!E18</f>
        <v>0</v>
      </c>
      <c r="F16" s="31">
        <f t="shared" si="1"/>
        <v>72600.000000000015</v>
      </c>
      <c r="G16" s="31">
        <f t="shared" si="2"/>
        <v>-72600.000000000015</v>
      </c>
      <c r="H16" s="31">
        <f>IFERROR($B$7/SUMPRODUCT(Dashboard!$E$31:$E$38,'Menu Productos'!$H$5:$H$12),0)</f>
        <v>0</v>
      </c>
    </row>
    <row r="17" spans="1:8" x14ac:dyDescent="0.3">
      <c r="A17" s="4" t="str">
        <f>Dashboard!A19</f>
        <v>JULIO</v>
      </c>
      <c r="B17" s="31">
        <f>Dashboard!B19</f>
        <v>0</v>
      </c>
      <c r="C17" s="31">
        <f>IFERROR(AVERAGEIF(Dashboard!$B$13:$B$24,"&gt;0")*(1+$B$4),0)</f>
        <v>363000.00000000006</v>
      </c>
      <c r="D17" s="5">
        <f t="shared" si="0"/>
        <v>0</v>
      </c>
      <c r="E17" s="31">
        <f>Dashboard!E19</f>
        <v>0</v>
      </c>
      <c r="F17" s="31">
        <f t="shared" si="1"/>
        <v>72600.000000000015</v>
      </c>
      <c r="G17" s="31">
        <f t="shared" si="2"/>
        <v>-72600.000000000015</v>
      </c>
      <c r="H17" s="31">
        <f>IFERROR($B$7/SUMPRODUCT(Dashboard!$E$31:$E$38,'Menu Productos'!$H$5:$H$12),0)</f>
        <v>0</v>
      </c>
    </row>
    <row r="18" spans="1:8" x14ac:dyDescent="0.3">
      <c r="A18" s="4" t="str">
        <f>Dashboard!A20</f>
        <v>AGOSTO</v>
      </c>
      <c r="B18" s="31">
        <f>Dashboard!B20</f>
        <v>0</v>
      </c>
      <c r="C18" s="31">
        <f>IFERROR(AVERAGEIF(Dashboard!$B$13:$B$24,"&gt;0")*(1+$B$4),0)</f>
        <v>363000.00000000006</v>
      </c>
      <c r="D18" s="5">
        <f t="shared" si="0"/>
        <v>0</v>
      </c>
      <c r="E18" s="31">
        <f>Dashboard!E20</f>
        <v>0</v>
      </c>
      <c r="F18" s="31">
        <f t="shared" si="1"/>
        <v>72600.000000000015</v>
      </c>
      <c r="G18" s="31">
        <f t="shared" si="2"/>
        <v>-72600.000000000015</v>
      </c>
      <c r="H18" s="31">
        <f>IFERROR($B$7/SUMPRODUCT(Dashboard!$E$31:$E$38,'Menu Productos'!$H$5:$H$12),0)</f>
        <v>0</v>
      </c>
    </row>
    <row r="19" spans="1:8" x14ac:dyDescent="0.3">
      <c r="A19" s="4" t="str">
        <f>Dashboard!A21</f>
        <v>SEPTIEMBRE</v>
      </c>
      <c r="B19" s="31">
        <f>Dashboard!B21</f>
        <v>0</v>
      </c>
      <c r="C19" s="31">
        <f>IFERROR(AVERAGEIF(Dashboard!$B$13:$B$24,"&gt;0")*(1+$B$4),0)</f>
        <v>363000.00000000006</v>
      </c>
      <c r="D19" s="5">
        <f t="shared" si="0"/>
        <v>0</v>
      </c>
      <c r="E19" s="31">
        <f>Dashboard!E21</f>
        <v>0</v>
      </c>
      <c r="F19" s="31">
        <f t="shared" si="1"/>
        <v>72600.000000000015</v>
      </c>
      <c r="G19" s="31">
        <f t="shared" si="2"/>
        <v>-72600.000000000015</v>
      </c>
      <c r="H19" s="31">
        <f>IFERROR($B$7/SUMPRODUCT(Dashboard!$E$31:$E$38,'Menu Productos'!$H$5:$H$12),0)</f>
        <v>0</v>
      </c>
    </row>
    <row r="20" spans="1:8" x14ac:dyDescent="0.3">
      <c r="A20" s="4" t="str">
        <f>Dashboard!A22</f>
        <v>OCTUBRE</v>
      </c>
      <c r="B20" s="31">
        <f>Dashboard!B22</f>
        <v>0</v>
      </c>
      <c r="C20" s="31">
        <f>IFERROR(AVERAGEIF(Dashboard!$B$13:$B$24,"&gt;0")*(1+$B$4),0)</f>
        <v>363000.00000000006</v>
      </c>
      <c r="D20" s="5">
        <f t="shared" si="0"/>
        <v>0</v>
      </c>
      <c r="E20" s="31">
        <f>Dashboard!E22</f>
        <v>0</v>
      </c>
      <c r="F20" s="31">
        <f t="shared" si="1"/>
        <v>72600.000000000015</v>
      </c>
      <c r="G20" s="31">
        <f t="shared" si="2"/>
        <v>-72600.000000000015</v>
      </c>
      <c r="H20" s="31">
        <f>IFERROR($B$7/SUMPRODUCT(Dashboard!$E$31:$E$38,'Menu Productos'!$H$5:$H$12),0)</f>
        <v>0</v>
      </c>
    </row>
    <row r="21" spans="1:8" x14ac:dyDescent="0.3">
      <c r="A21" s="4" t="str">
        <f>Dashboard!A23</f>
        <v>NOVIEMBRE</v>
      </c>
      <c r="B21" s="31">
        <f>Dashboard!B23</f>
        <v>0</v>
      </c>
      <c r="C21" s="31">
        <f>IFERROR(AVERAGEIF(Dashboard!$B$13:$B$24,"&gt;0")*(1+$B$4),0)</f>
        <v>363000.00000000006</v>
      </c>
      <c r="D21" s="5">
        <f t="shared" si="0"/>
        <v>0</v>
      </c>
      <c r="E21" s="31">
        <f>Dashboard!E23</f>
        <v>0</v>
      </c>
      <c r="F21" s="31">
        <f t="shared" si="1"/>
        <v>72600.000000000015</v>
      </c>
      <c r="G21" s="31">
        <f t="shared" si="2"/>
        <v>-72600.000000000015</v>
      </c>
      <c r="H21" s="31">
        <f>IFERROR($B$7/SUMPRODUCT(Dashboard!$E$31:$E$38,'Menu Productos'!$H$5:$H$12),0)</f>
        <v>0</v>
      </c>
    </row>
    <row r="22" spans="1:8" x14ac:dyDescent="0.3">
      <c r="A22" s="4" t="str">
        <f>Dashboard!A24</f>
        <v>DICIEMBRE</v>
      </c>
      <c r="B22" s="31">
        <f>Dashboard!B24</f>
        <v>0</v>
      </c>
      <c r="C22" s="31">
        <f>IFERROR(AVERAGEIF(Dashboard!$B$13:$B$24,"&gt;0")*(1+$B$4),0)</f>
        <v>363000.00000000006</v>
      </c>
      <c r="D22" s="5">
        <f t="shared" si="0"/>
        <v>0</v>
      </c>
      <c r="E22" s="31">
        <f>Dashboard!E24</f>
        <v>0</v>
      </c>
      <c r="F22" s="31">
        <f t="shared" si="1"/>
        <v>72600.000000000015</v>
      </c>
      <c r="G22" s="31">
        <f t="shared" si="2"/>
        <v>-72600.000000000015</v>
      </c>
      <c r="H22" s="31">
        <f>IFERROR($B$7/SUMPRODUCT(Dashboard!$E$31:$E$38,'Menu Productos'!$H$5:$H$12),0)</f>
        <v>0</v>
      </c>
    </row>
    <row r="23" spans="1:8" x14ac:dyDescent="0.3">
      <c r="A23" s="4" t="s">
        <v>75</v>
      </c>
      <c r="B23" s="31">
        <f>SUM(B11:B22)</f>
        <v>330000</v>
      </c>
      <c r="C23" s="31">
        <f>SUM(C11:C22)</f>
        <v>4356000.0000000009</v>
      </c>
      <c r="D23" s="5">
        <f>IFERROR(B23/C23,0)</f>
        <v>7.5757575757575746E-2</v>
      </c>
      <c r="E23" s="31">
        <f>SUM(E11:E22)</f>
        <v>54636</v>
      </c>
      <c r="F23" s="31">
        <f>SUM(F11:F22)</f>
        <v>871200.00000000012</v>
      </c>
      <c r="G23" s="31">
        <f>SUM(G11:G22)</f>
        <v>-816564.00000000012</v>
      </c>
      <c r="H23" s="31">
        <f>AVERAGE(H11:H22)</f>
        <v>0</v>
      </c>
    </row>
  </sheetData>
  <mergeCells count="2">
    <mergeCell ref="A1:H1"/>
    <mergeCell ref="A2:H2"/>
  </mergeCells>
  <conditionalFormatting sqref="D11:D22">
    <cfRule type="expression" dxfId="9" priority="1">
      <formula>D11&lt;80%</formula>
    </cfRule>
  </conditionalFormatting>
  <conditionalFormatting sqref="D11:D22">
    <cfRule type="expression" dxfId="8" priority="2">
      <formula>AND(D11&gt;=80%,D11&lt;100%)</formula>
    </cfRule>
  </conditionalFormatting>
  <conditionalFormatting sqref="D11:D22">
    <cfRule type="expression" dxfId="7" priority="3">
      <formula>D11&gt;=100%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019A-C347-4209-9F81-B6DB76EAD5D2}">
  <dimension ref="A1:E13"/>
  <sheetViews>
    <sheetView workbookViewId="0"/>
  </sheetViews>
  <sheetFormatPr baseColWidth="10" defaultRowHeight="14.4" x14ac:dyDescent="0.3"/>
  <sheetData>
    <row r="1" spans="1:5" x14ac:dyDescent="0.3">
      <c r="A1" t="s">
        <v>22</v>
      </c>
      <c r="B1" t="s">
        <v>38</v>
      </c>
      <c r="C1" t="s">
        <v>39</v>
      </c>
      <c r="D1" t="s">
        <v>25</v>
      </c>
      <c r="E1" t="s">
        <v>40</v>
      </c>
    </row>
    <row r="2" spans="1:5" x14ac:dyDescent="0.3">
      <c r="A2" t="str">
        <f>Dashboard!A13</f>
        <v>ENERO</v>
      </c>
      <c r="B2">
        <f>IF(SUM(Dashboard!B13:D13)=0,NA(),Dashboard!B13)</f>
        <v>330000</v>
      </c>
      <c r="C2">
        <f>IF(SUM(Dashboard!B13:D13)=0,NA(),Dashboard!C13)</f>
        <v>275364</v>
      </c>
      <c r="D2">
        <f>IF(SUM(Dashboard!B13:D13)=0,NA(),Dashboard!D13)</f>
        <v>0</v>
      </c>
      <c r="E2">
        <f>IF(SUM(Dashboard!B13:D13)=0,NA(),Dashboard!E13)</f>
        <v>54636</v>
      </c>
    </row>
    <row r="3" spans="1:5" x14ac:dyDescent="0.3">
      <c r="A3" t="str">
        <f>Dashboard!A14</f>
        <v>FEBRERO</v>
      </c>
      <c r="B3" t="e">
        <f>IF(SUM(Dashboard!B14:D14)=0,NA(),Dashboard!B14)</f>
        <v>#N/A</v>
      </c>
      <c r="C3" t="e">
        <f>IF(SUM(Dashboard!B14:D14)=0,NA(),Dashboard!C14)</f>
        <v>#N/A</v>
      </c>
      <c r="D3" t="e">
        <f>IF(SUM(Dashboard!B14:D14)=0,NA(),Dashboard!D14)</f>
        <v>#N/A</v>
      </c>
      <c r="E3" t="e">
        <f>IF(SUM(Dashboard!B14:D14)=0,NA(),Dashboard!E14)</f>
        <v>#N/A</v>
      </c>
    </row>
    <row r="4" spans="1:5" x14ac:dyDescent="0.3">
      <c r="A4" t="str">
        <f>Dashboard!A15</f>
        <v>MARZO</v>
      </c>
      <c r="B4" t="e">
        <f>IF(SUM(Dashboard!B15:D15)=0,NA(),Dashboard!B15)</f>
        <v>#N/A</v>
      </c>
      <c r="C4" t="e">
        <f>IF(SUM(Dashboard!B15:D15)=0,NA(),Dashboard!C15)</f>
        <v>#N/A</v>
      </c>
      <c r="D4" t="e">
        <f>IF(SUM(Dashboard!B15:D15)=0,NA(),Dashboard!D15)</f>
        <v>#N/A</v>
      </c>
      <c r="E4" t="e">
        <f>IF(SUM(Dashboard!B15:D15)=0,NA(),Dashboard!E15)</f>
        <v>#N/A</v>
      </c>
    </row>
    <row r="5" spans="1:5" x14ac:dyDescent="0.3">
      <c r="A5" t="str">
        <f>Dashboard!A16</f>
        <v>ABRIL</v>
      </c>
      <c r="B5" t="e">
        <f>IF(SUM(Dashboard!B16:D16)=0,NA(),Dashboard!B16)</f>
        <v>#N/A</v>
      </c>
      <c r="C5" t="e">
        <f>IF(SUM(Dashboard!B16:D16)=0,NA(),Dashboard!C16)</f>
        <v>#N/A</v>
      </c>
      <c r="D5" t="e">
        <f>IF(SUM(Dashboard!B16:D16)=0,NA(),Dashboard!D16)</f>
        <v>#N/A</v>
      </c>
      <c r="E5" t="e">
        <f>IF(SUM(Dashboard!B16:D16)=0,NA(),Dashboard!E16)</f>
        <v>#N/A</v>
      </c>
    </row>
    <row r="6" spans="1:5" x14ac:dyDescent="0.3">
      <c r="A6" t="str">
        <f>Dashboard!A17</f>
        <v>MAYO</v>
      </c>
      <c r="B6" t="e">
        <f>IF(SUM(Dashboard!B17:D17)=0,NA(),Dashboard!B17)</f>
        <v>#N/A</v>
      </c>
      <c r="C6" t="e">
        <f>IF(SUM(Dashboard!B17:D17)=0,NA(),Dashboard!C17)</f>
        <v>#N/A</v>
      </c>
      <c r="D6" t="e">
        <f>IF(SUM(Dashboard!B17:D17)=0,NA(),Dashboard!D17)</f>
        <v>#N/A</v>
      </c>
      <c r="E6" t="e">
        <f>IF(SUM(Dashboard!B17:D17)=0,NA(),Dashboard!E17)</f>
        <v>#N/A</v>
      </c>
    </row>
    <row r="7" spans="1:5" x14ac:dyDescent="0.3">
      <c r="A7" t="str">
        <f>Dashboard!A18</f>
        <v>JUNIO</v>
      </c>
      <c r="B7" t="e">
        <f>IF(SUM(Dashboard!B18:D18)=0,NA(),Dashboard!B18)</f>
        <v>#N/A</v>
      </c>
      <c r="C7" t="e">
        <f>IF(SUM(Dashboard!B18:D18)=0,NA(),Dashboard!C18)</f>
        <v>#N/A</v>
      </c>
      <c r="D7" t="e">
        <f>IF(SUM(Dashboard!B18:D18)=0,NA(),Dashboard!D18)</f>
        <v>#N/A</v>
      </c>
      <c r="E7" t="e">
        <f>IF(SUM(Dashboard!B18:D18)=0,NA(),Dashboard!E18)</f>
        <v>#N/A</v>
      </c>
    </row>
    <row r="8" spans="1:5" x14ac:dyDescent="0.3">
      <c r="A8" t="str">
        <f>Dashboard!A19</f>
        <v>JULIO</v>
      </c>
      <c r="B8" t="e">
        <f>IF(SUM(Dashboard!B19:D19)=0,NA(),Dashboard!B19)</f>
        <v>#N/A</v>
      </c>
      <c r="C8" t="e">
        <f>IF(SUM(Dashboard!B19:D19)=0,NA(),Dashboard!C19)</f>
        <v>#N/A</v>
      </c>
      <c r="D8" t="e">
        <f>IF(SUM(Dashboard!B19:D19)=0,NA(),Dashboard!D19)</f>
        <v>#N/A</v>
      </c>
      <c r="E8" t="e">
        <f>IF(SUM(Dashboard!B19:D19)=0,NA(),Dashboard!E19)</f>
        <v>#N/A</v>
      </c>
    </row>
    <row r="9" spans="1:5" x14ac:dyDescent="0.3">
      <c r="A9" t="str">
        <f>Dashboard!A20</f>
        <v>AGOSTO</v>
      </c>
      <c r="B9" t="e">
        <f>IF(SUM(Dashboard!B20:D20)=0,NA(),Dashboard!B20)</f>
        <v>#N/A</v>
      </c>
      <c r="C9" t="e">
        <f>IF(SUM(Dashboard!B20:D20)=0,NA(),Dashboard!C20)</f>
        <v>#N/A</v>
      </c>
      <c r="D9" t="e">
        <f>IF(SUM(Dashboard!B20:D20)=0,NA(),Dashboard!D20)</f>
        <v>#N/A</v>
      </c>
      <c r="E9" t="e">
        <f>IF(SUM(Dashboard!B20:D20)=0,NA(),Dashboard!E20)</f>
        <v>#N/A</v>
      </c>
    </row>
    <row r="10" spans="1:5" x14ac:dyDescent="0.3">
      <c r="A10" t="str">
        <f>Dashboard!A21</f>
        <v>SEPTIEMBRE</v>
      </c>
      <c r="B10" t="e">
        <f>IF(SUM(Dashboard!B21:D21)=0,NA(),Dashboard!B21)</f>
        <v>#N/A</v>
      </c>
      <c r="C10" t="e">
        <f>IF(SUM(Dashboard!B21:D21)=0,NA(),Dashboard!C21)</f>
        <v>#N/A</v>
      </c>
      <c r="D10" t="e">
        <f>IF(SUM(Dashboard!B21:D21)=0,NA(),Dashboard!D21)</f>
        <v>#N/A</v>
      </c>
      <c r="E10" t="e">
        <f>IF(SUM(Dashboard!B21:D21)=0,NA(),Dashboard!E21)</f>
        <v>#N/A</v>
      </c>
    </row>
    <row r="11" spans="1:5" x14ac:dyDescent="0.3">
      <c r="A11" t="str">
        <f>Dashboard!A22</f>
        <v>OCTUBRE</v>
      </c>
      <c r="B11" t="e">
        <f>IF(SUM(Dashboard!B22:D22)=0,NA(),Dashboard!B22)</f>
        <v>#N/A</v>
      </c>
      <c r="C11" t="e">
        <f>IF(SUM(Dashboard!B22:D22)=0,NA(),Dashboard!C22)</f>
        <v>#N/A</v>
      </c>
      <c r="D11" t="e">
        <f>IF(SUM(Dashboard!B22:D22)=0,NA(),Dashboard!D22)</f>
        <v>#N/A</v>
      </c>
      <c r="E11" t="e">
        <f>IF(SUM(Dashboard!B22:D22)=0,NA(),Dashboard!E22)</f>
        <v>#N/A</v>
      </c>
    </row>
    <row r="12" spans="1:5" x14ac:dyDescent="0.3">
      <c r="A12" t="str">
        <f>Dashboard!A23</f>
        <v>NOVIEMBRE</v>
      </c>
      <c r="B12" t="e">
        <f>IF(SUM(Dashboard!B23:D23)=0,NA(),Dashboard!B23)</f>
        <v>#N/A</v>
      </c>
      <c r="C12" t="e">
        <f>IF(SUM(Dashboard!B23:D23)=0,NA(),Dashboard!C23)</f>
        <v>#N/A</v>
      </c>
      <c r="D12" t="e">
        <f>IF(SUM(Dashboard!B23:D23)=0,NA(),Dashboard!D23)</f>
        <v>#N/A</v>
      </c>
      <c r="E12" t="e">
        <f>IF(SUM(Dashboard!B23:D23)=0,NA(),Dashboard!E23)</f>
        <v>#N/A</v>
      </c>
    </row>
    <row r="13" spans="1:5" x14ac:dyDescent="0.3">
      <c r="A13" t="str">
        <f>Dashboard!A24</f>
        <v>DICIEMBRE</v>
      </c>
      <c r="B13" t="e">
        <f>IF(SUM(Dashboard!B24:D24)=0,NA(),Dashboard!B24)</f>
        <v>#N/A</v>
      </c>
      <c r="C13" t="e">
        <f>IF(SUM(Dashboard!B24:D24)=0,NA(),Dashboard!C24)</f>
        <v>#N/A</v>
      </c>
      <c r="D13" t="e">
        <f>IF(SUM(Dashboard!B24:D24)=0,NA(),Dashboard!D24)</f>
        <v>#N/A</v>
      </c>
      <c r="E13" t="e">
        <f>IF(SUM(Dashboard!B24:D24)=0,NA(),Dashboard!E24)</f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7EBA-A655-4D08-B4CC-30648E8260B9}">
  <dimension ref="A1:H63"/>
  <sheetViews>
    <sheetView showGridLines="0" topLeftCell="A45" workbookViewId="0">
      <selection activeCell="P9" sqref="P9"/>
    </sheetView>
  </sheetViews>
  <sheetFormatPr baseColWidth="10" defaultRowHeight="14.4" x14ac:dyDescent="0.3"/>
  <cols>
    <col min="1" max="8" width="15.21875" customWidth="1"/>
  </cols>
  <sheetData>
    <row r="1" spans="1:8" ht="36" customHeight="1" x14ac:dyDescent="0.3">
      <c r="A1" s="53" t="s">
        <v>98</v>
      </c>
      <c r="B1" s="53"/>
      <c r="C1" s="53"/>
      <c r="D1" s="53"/>
      <c r="E1" s="53"/>
      <c r="F1" s="53"/>
      <c r="G1" s="53"/>
      <c r="H1" s="53"/>
    </row>
    <row r="2" spans="1:8" ht="25.95" customHeight="1" x14ac:dyDescent="0.3">
      <c r="A2" s="54" t="s">
        <v>99</v>
      </c>
      <c r="B2" s="54"/>
      <c r="C2" s="54"/>
      <c r="D2" s="54"/>
      <c r="E2" s="54"/>
      <c r="F2" s="54"/>
      <c r="G2" s="54"/>
      <c r="H2" s="54"/>
    </row>
    <row r="3" spans="1:8" ht="19.95" customHeight="1" x14ac:dyDescent="0.3">
      <c r="A3" s="55"/>
      <c r="B3" s="55"/>
      <c r="C3" s="55"/>
      <c r="D3" s="55"/>
      <c r="E3" s="55"/>
      <c r="F3" s="55"/>
      <c r="G3" s="55"/>
      <c r="H3" s="55"/>
    </row>
    <row r="4" spans="1:8" ht="25.95" customHeight="1" x14ac:dyDescent="0.3">
      <c r="A4" s="56" t="s">
        <v>100</v>
      </c>
      <c r="B4" s="56"/>
      <c r="C4" s="56"/>
      <c r="D4" s="56"/>
      <c r="E4" s="56"/>
      <c r="F4" s="56"/>
      <c r="G4" s="56"/>
      <c r="H4" s="56"/>
    </row>
    <row r="5" spans="1:8" ht="19.95" customHeight="1" x14ac:dyDescent="0.3">
      <c r="A5" s="52" t="s">
        <v>101</v>
      </c>
      <c r="B5" s="52"/>
      <c r="C5" s="52" t="s">
        <v>102</v>
      </c>
      <c r="D5" s="52"/>
      <c r="E5" s="52" t="s">
        <v>26</v>
      </c>
      <c r="F5" s="52"/>
      <c r="G5" s="52" t="s">
        <v>76</v>
      </c>
      <c r="H5" s="52"/>
    </row>
    <row r="6" spans="1:8" ht="27" customHeight="1" x14ac:dyDescent="0.3">
      <c r="A6" s="57">
        <f>Dashboard!B2</f>
        <v>2026</v>
      </c>
      <c r="B6" s="57"/>
      <c r="C6" s="71">
        <f>Dashboard!A5</f>
        <v>330000</v>
      </c>
      <c r="D6" s="58"/>
      <c r="E6" s="71">
        <f>Dashboard!D5</f>
        <v>54636</v>
      </c>
      <c r="F6" s="58"/>
      <c r="G6" s="57">
        <f ca="1">Dashboard!M5</f>
        <v>0</v>
      </c>
      <c r="H6" s="57"/>
    </row>
    <row r="7" spans="1:8" ht="27" customHeight="1" x14ac:dyDescent="0.3">
      <c r="A7" s="57"/>
      <c r="B7" s="57"/>
      <c r="C7" s="58"/>
      <c r="D7" s="58"/>
      <c r="E7" s="58"/>
      <c r="F7" s="58"/>
      <c r="G7" s="57"/>
      <c r="H7" s="57"/>
    </row>
    <row r="8" spans="1:8" ht="19.95" customHeight="1" x14ac:dyDescent="0.3">
      <c r="A8" s="55"/>
      <c r="B8" s="55"/>
      <c r="C8" s="55"/>
      <c r="D8" s="55"/>
      <c r="E8" s="55"/>
      <c r="F8" s="55"/>
      <c r="G8" s="55"/>
      <c r="H8" s="55"/>
    </row>
    <row r="9" spans="1:8" ht="25.95" customHeight="1" x14ac:dyDescent="0.3">
      <c r="A9" s="56" t="s">
        <v>103</v>
      </c>
      <c r="B9" s="56"/>
      <c r="C9" s="56"/>
      <c r="D9" s="56"/>
      <c r="E9" s="56"/>
      <c r="F9" s="56"/>
      <c r="G9" s="56"/>
      <c r="H9" s="56"/>
    </row>
    <row r="10" spans="1:8" ht="19.95" customHeight="1" x14ac:dyDescent="0.3">
      <c r="A10" s="55"/>
      <c r="B10" s="55"/>
      <c r="C10" s="55"/>
      <c r="D10" s="55"/>
      <c r="E10" s="55"/>
      <c r="F10" s="55"/>
      <c r="G10" s="55"/>
      <c r="H10" s="55"/>
    </row>
    <row r="11" spans="1:8" x14ac:dyDescent="0.3">
      <c r="A11" s="65" t="s">
        <v>104</v>
      </c>
      <c r="B11" s="66" t="s">
        <v>105</v>
      </c>
      <c r="C11" s="66"/>
      <c r="D11" s="66"/>
      <c r="E11" s="66" t="s">
        <v>106</v>
      </c>
      <c r="F11" s="66"/>
      <c r="G11" s="66" t="s">
        <v>107</v>
      </c>
      <c r="H11" s="66"/>
    </row>
    <row r="12" spans="1:8" ht="27.6" x14ac:dyDescent="0.3">
      <c r="A12" s="59" t="s">
        <v>108</v>
      </c>
      <c r="B12" s="63" t="s">
        <v>109</v>
      </c>
      <c r="C12" s="63"/>
      <c r="D12" s="63"/>
      <c r="E12" s="63" t="s">
        <v>110</v>
      </c>
      <c r="F12" s="63"/>
      <c r="G12" s="63" t="s">
        <v>111</v>
      </c>
      <c r="H12" s="63"/>
    </row>
    <row r="13" spans="1:8" ht="27.6" x14ac:dyDescent="0.3">
      <c r="A13" s="60" t="s">
        <v>112</v>
      </c>
      <c r="B13" s="68" t="s">
        <v>113</v>
      </c>
      <c r="C13" s="68"/>
      <c r="D13" s="68"/>
      <c r="E13" s="68" t="s">
        <v>114</v>
      </c>
      <c r="F13" s="68"/>
      <c r="G13" s="68" t="s">
        <v>115</v>
      </c>
      <c r="H13" s="68"/>
    </row>
    <row r="14" spans="1:8" x14ac:dyDescent="0.3">
      <c r="A14" s="59" t="s">
        <v>116</v>
      </c>
      <c r="B14" s="64" t="s">
        <v>117</v>
      </c>
      <c r="C14" s="64"/>
      <c r="D14" s="64"/>
      <c r="E14" s="64" t="s">
        <v>118</v>
      </c>
      <c r="F14" s="64"/>
      <c r="G14" s="64" t="s">
        <v>119</v>
      </c>
      <c r="H14" s="64"/>
    </row>
    <row r="15" spans="1:8" x14ac:dyDescent="0.3">
      <c r="A15" s="60" t="s">
        <v>120</v>
      </c>
      <c r="B15" s="69" t="s">
        <v>121</v>
      </c>
      <c r="C15" s="69"/>
      <c r="D15" s="69"/>
      <c r="E15" s="69" t="s">
        <v>122</v>
      </c>
      <c r="F15" s="69"/>
      <c r="G15" s="69" t="s">
        <v>123</v>
      </c>
      <c r="H15" s="69"/>
    </row>
    <row r="16" spans="1:8" ht="15.6" x14ac:dyDescent="0.3">
      <c r="A16" s="61" t="s">
        <v>124</v>
      </c>
      <c r="B16" s="61"/>
      <c r="C16" s="61"/>
      <c r="D16" s="61"/>
      <c r="E16" s="61"/>
      <c r="F16" s="61"/>
      <c r="G16" s="61"/>
      <c r="H16" s="61"/>
    </row>
    <row r="17" spans="1:8" x14ac:dyDescent="0.3">
      <c r="A17" s="65" t="s">
        <v>106</v>
      </c>
      <c r="B17" s="67" t="s">
        <v>125</v>
      </c>
      <c r="C17" s="67"/>
      <c r="D17" s="67"/>
      <c r="E17" s="67" t="s">
        <v>126</v>
      </c>
      <c r="F17" s="67"/>
      <c r="G17" s="67" t="s">
        <v>127</v>
      </c>
      <c r="H17" s="67"/>
    </row>
    <row r="18" spans="1:8" x14ac:dyDescent="0.3">
      <c r="A18" s="59" t="s">
        <v>122</v>
      </c>
      <c r="B18" s="64" t="s">
        <v>128</v>
      </c>
      <c r="C18" s="64"/>
      <c r="D18" s="64"/>
      <c r="E18" s="64" t="s">
        <v>129</v>
      </c>
      <c r="F18" s="64"/>
      <c r="G18" s="64" t="s">
        <v>130</v>
      </c>
      <c r="H18" s="64"/>
    </row>
    <row r="19" spans="1:8" x14ac:dyDescent="0.3">
      <c r="A19" s="60" t="s">
        <v>118</v>
      </c>
      <c r="B19" s="69" t="s">
        <v>131</v>
      </c>
      <c r="C19" s="69"/>
      <c r="D19" s="69"/>
      <c r="E19" s="69" t="s">
        <v>132</v>
      </c>
      <c r="F19" s="69"/>
      <c r="G19" s="69" t="s">
        <v>133</v>
      </c>
      <c r="H19" s="69"/>
    </row>
    <row r="20" spans="1:8" x14ac:dyDescent="0.3">
      <c r="A20" s="59" t="s">
        <v>110</v>
      </c>
      <c r="B20" s="64" t="s">
        <v>134</v>
      </c>
      <c r="C20" s="64"/>
      <c r="D20" s="64"/>
      <c r="E20" s="64" t="s">
        <v>135</v>
      </c>
      <c r="F20" s="64"/>
      <c r="G20" s="64" t="s">
        <v>136</v>
      </c>
      <c r="H20" s="64"/>
    </row>
    <row r="21" spans="1:8" x14ac:dyDescent="0.3">
      <c r="A21" s="60" t="s">
        <v>114</v>
      </c>
      <c r="B21" s="69" t="s">
        <v>137</v>
      </c>
      <c r="C21" s="69"/>
      <c r="D21" s="69"/>
      <c r="E21" s="69" t="s">
        <v>138</v>
      </c>
      <c r="F21" s="69"/>
      <c r="G21" s="69" t="s">
        <v>139</v>
      </c>
      <c r="H21" s="69"/>
    </row>
    <row r="22" spans="1:8" x14ac:dyDescent="0.3">
      <c r="A22" s="59" t="s">
        <v>140</v>
      </c>
      <c r="B22" s="64" t="s">
        <v>141</v>
      </c>
      <c r="C22" s="64"/>
      <c r="D22" s="64"/>
      <c r="E22" s="64" t="s">
        <v>142</v>
      </c>
      <c r="F22" s="64"/>
      <c r="G22" s="64" t="s">
        <v>143</v>
      </c>
      <c r="H22" s="64"/>
    </row>
    <row r="23" spans="1:8" x14ac:dyDescent="0.3">
      <c r="A23" s="60"/>
      <c r="B23" s="60"/>
      <c r="C23" s="60"/>
      <c r="D23" s="60"/>
      <c r="E23" s="60"/>
      <c r="F23" s="60"/>
      <c r="G23" s="60"/>
      <c r="H23" s="60"/>
    </row>
    <row r="24" spans="1:8" ht="15.6" x14ac:dyDescent="0.3">
      <c r="A24" s="61" t="s">
        <v>144</v>
      </c>
      <c r="B24" s="61"/>
      <c r="C24" s="61"/>
      <c r="D24" s="61"/>
      <c r="E24" s="61"/>
      <c r="F24" s="61"/>
      <c r="G24" s="61"/>
      <c r="H24" s="61"/>
    </row>
    <row r="25" spans="1:8" x14ac:dyDescent="0.3">
      <c r="A25" s="65" t="s">
        <v>145</v>
      </c>
      <c r="B25" s="67" t="s">
        <v>146</v>
      </c>
      <c r="C25" s="67"/>
      <c r="D25" s="67"/>
      <c r="E25" s="67" t="s">
        <v>147</v>
      </c>
      <c r="F25" s="67"/>
      <c r="G25" s="67" t="s">
        <v>148</v>
      </c>
      <c r="H25" s="67"/>
    </row>
    <row r="26" spans="1:8" x14ac:dyDescent="0.3">
      <c r="A26" s="59">
        <v>1</v>
      </c>
      <c r="B26" s="64" t="s">
        <v>149</v>
      </c>
      <c r="C26" s="64"/>
      <c r="D26" s="64"/>
      <c r="E26" s="64" t="s">
        <v>150</v>
      </c>
      <c r="F26" s="64"/>
      <c r="G26" s="64" t="s">
        <v>151</v>
      </c>
      <c r="H26" s="64"/>
    </row>
    <row r="27" spans="1:8" x14ac:dyDescent="0.3">
      <c r="A27" s="60">
        <v>2</v>
      </c>
      <c r="B27" s="69" t="s">
        <v>152</v>
      </c>
      <c r="C27" s="69"/>
      <c r="D27" s="69"/>
      <c r="E27" s="69" t="s">
        <v>153</v>
      </c>
      <c r="F27" s="69"/>
      <c r="G27" s="69" t="s">
        <v>154</v>
      </c>
      <c r="H27" s="69"/>
    </row>
    <row r="28" spans="1:8" x14ac:dyDescent="0.3">
      <c r="A28" s="59">
        <v>3</v>
      </c>
      <c r="B28" s="64" t="s">
        <v>155</v>
      </c>
      <c r="C28" s="64"/>
      <c r="D28" s="64"/>
      <c r="E28" s="64" t="s">
        <v>156</v>
      </c>
      <c r="F28" s="64"/>
      <c r="G28" s="64" t="s">
        <v>157</v>
      </c>
      <c r="H28" s="64"/>
    </row>
    <row r="29" spans="1:8" x14ac:dyDescent="0.3">
      <c r="A29" s="60">
        <v>4</v>
      </c>
      <c r="B29" s="69" t="s">
        <v>158</v>
      </c>
      <c r="C29" s="69"/>
      <c r="D29" s="69"/>
      <c r="E29" s="69" t="s">
        <v>159</v>
      </c>
      <c r="F29" s="69"/>
      <c r="G29" s="69" t="s">
        <v>160</v>
      </c>
      <c r="H29" s="69"/>
    </row>
    <row r="30" spans="1:8" x14ac:dyDescent="0.3">
      <c r="A30" s="59">
        <v>5</v>
      </c>
      <c r="B30" s="64" t="s">
        <v>161</v>
      </c>
      <c r="C30" s="64"/>
      <c r="D30" s="64"/>
      <c r="E30" s="64" t="s">
        <v>162</v>
      </c>
      <c r="F30" s="64"/>
      <c r="G30" s="64" t="s">
        <v>163</v>
      </c>
      <c r="H30" s="64"/>
    </row>
    <row r="31" spans="1:8" x14ac:dyDescent="0.3">
      <c r="A31" s="60" t="s">
        <v>164</v>
      </c>
      <c r="B31" s="69" t="s">
        <v>165</v>
      </c>
      <c r="C31" s="69"/>
      <c r="D31" s="69"/>
      <c r="E31" s="69" t="s">
        <v>166</v>
      </c>
      <c r="F31" s="69"/>
      <c r="G31" s="69" t="s">
        <v>167</v>
      </c>
      <c r="H31" s="69"/>
    </row>
    <row r="32" spans="1:8" x14ac:dyDescent="0.3">
      <c r="A32" s="59"/>
      <c r="B32" s="59"/>
      <c r="C32" s="59"/>
      <c r="D32" s="59"/>
      <c r="E32" s="59"/>
      <c r="F32" s="59"/>
      <c r="G32" s="59"/>
      <c r="H32" s="59"/>
    </row>
    <row r="33" spans="1:8" ht="15.6" x14ac:dyDescent="0.3">
      <c r="A33" s="61" t="s">
        <v>168</v>
      </c>
      <c r="B33" s="61"/>
      <c r="C33" s="61"/>
      <c r="D33" s="61"/>
      <c r="E33" s="61"/>
      <c r="F33" s="61"/>
      <c r="G33" s="61"/>
      <c r="H33" s="61"/>
    </row>
    <row r="34" spans="1:8" x14ac:dyDescent="0.3">
      <c r="A34" s="65" t="s">
        <v>169</v>
      </c>
      <c r="B34" s="67" t="s">
        <v>170</v>
      </c>
      <c r="C34" s="67"/>
      <c r="D34" s="67"/>
      <c r="E34" s="67" t="s">
        <v>171</v>
      </c>
      <c r="F34" s="67"/>
      <c r="G34" s="67" t="s">
        <v>172</v>
      </c>
      <c r="H34" s="67"/>
    </row>
    <row r="35" spans="1:8" x14ac:dyDescent="0.3">
      <c r="A35" s="59" t="s">
        <v>173</v>
      </c>
      <c r="B35" s="64" t="s">
        <v>174</v>
      </c>
      <c r="C35" s="64"/>
      <c r="D35" s="64"/>
      <c r="E35" s="64" t="s">
        <v>175</v>
      </c>
      <c r="F35" s="64"/>
      <c r="G35" s="64" t="s">
        <v>176</v>
      </c>
      <c r="H35" s="64"/>
    </row>
    <row r="36" spans="1:8" x14ac:dyDescent="0.3">
      <c r="A36" s="60" t="s">
        <v>177</v>
      </c>
      <c r="B36" s="69" t="s">
        <v>178</v>
      </c>
      <c r="C36" s="69"/>
      <c r="D36" s="69"/>
      <c r="E36" s="69" t="s">
        <v>179</v>
      </c>
      <c r="F36" s="69"/>
      <c r="G36" s="69" t="s">
        <v>180</v>
      </c>
      <c r="H36" s="69"/>
    </row>
    <row r="37" spans="1:8" x14ac:dyDescent="0.3">
      <c r="A37" s="59" t="s">
        <v>181</v>
      </c>
      <c r="B37" s="64" t="s">
        <v>182</v>
      </c>
      <c r="C37" s="64"/>
      <c r="D37" s="64"/>
      <c r="E37" s="64" t="s">
        <v>183</v>
      </c>
      <c r="F37" s="64"/>
      <c r="G37" s="64" t="s">
        <v>184</v>
      </c>
      <c r="H37" s="64"/>
    </row>
    <row r="38" spans="1:8" x14ac:dyDescent="0.3">
      <c r="A38" s="60" t="s">
        <v>185</v>
      </c>
      <c r="B38" s="69" t="s">
        <v>186</v>
      </c>
      <c r="C38" s="69"/>
      <c r="D38" s="69"/>
      <c r="E38" s="69" t="s">
        <v>187</v>
      </c>
      <c r="F38" s="69"/>
      <c r="G38" s="69" t="s">
        <v>188</v>
      </c>
      <c r="H38" s="69"/>
    </row>
    <row r="39" spans="1:8" ht="27.6" x14ac:dyDescent="0.3">
      <c r="A39" s="59" t="s">
        <v>189</v>
      </c>
      <c r="B39" s="64" t="s">
        <v>190</v>
      </c>
      <c r="C39" s="64"/>
      <c r="D39" s="64"/>
      <c r="E39" s="64" t="s">
        <v>191</v>
      </c>
      <c r="F39" s="64"/>
      <c r="G39" s="64" t="s">
        <v>192</v>
      </c>
      <c r="H39" s="64"/>
    </row>
    <row r="40" spans="1:8" x14ac:dyDescent="0.3">
      <c r="A40" s="60" t="s">
        <v>193</v>
      </c>
      <c r="B40" s="69" t="s">
        <v>194</v>
      </c>
      <c r="C40" s="69"/>
      <c r="D40" s="69"/>
      <c r="E40" s="69" t="s">
        <v>195</v>
      </c>
      <c r="F40" s="69"/>
      <c r="G40" s="69" t="s">
        <v>196</v>
      </c>
      <c r="H40" s="69"/>
    </row>
    <row r="41" spans="1:8" x14ac:dyDescent="0.3">
      <c r="A41" s="59"/>
      <c r="B41" s="59"/>
      <c r="C41" s="59"/>
      <c r="D41" s="59"/>
      <c r="E41" s="59"/>
      <c r="F41" s="59"/>
      <c r="G41" s="59"/>
      <c r="H41" s="59"/>
    </row>
    <row r="42" spans="1:8" ht="15.6" x14ac:dyDescent="0.3">
      <c r="A42" s="61" t="s">
        <v>197</v>
      </c>
      <c r="B42" s="61"/>
      <c r="C42" s="61"/>
      <c r="D42" s="61"/>
      <c r="E42" s="61"/>
      <c r="F42" s="61"/>
      <c r="G42" s="61"/>
      <c r="H42" s="61"/>
    </row>
    <row r="43" spans="1:8" x14ac:dyDescent="0.3">
      <c r="A43" s="65" t="s">
        <v>67</v>
      </c>
      <c r="B43" s="67" t="s">
        <v>198</v>
      </c>
      <c r="C43" s="67"/>
      <c r="D43" s="67"/>
      <c r="E43" s="67" t="s">
        <v>199</v>
      </c>
      <c r="F43" s="67"/>
      <c r="G43" s="67" t="s">
        <v>200</v>
      </c>
      <c r="H43" s="67"/>
    </row>
    <row r="44" spans="1:8" x14ac:dyDescent="0.3">
      <c r="A44" s="59" t="s">
        <v>201</v>
      </c>
      <c r="B44" s="64" t="s">
        <v>202</v>
      </c>
      <c r="C44" s="64"/>
      <c r="D44" s="64"/>
      <c r="E44" s="64" t="s">
        <v>203</v>
      </c>
      <c r="F44" s="64"/>
      <c r="G44" s="64" t="s">
        <v>204</v>
      </c>
      <c r="H44" s="64"/>
    </row>
    <row r="45" spans="1:8" x14ac:dyDescent="0.3">
      <c r="A45" s="60" t="s">
        <v>205</v>
      </c>
      <c r="B45" s="69" t="s">
        <v>206</v>
      </c>
      <c r="C45" s="69"/>
      <c r="D45" s="69"/>
      <c r="E45" s="69" t="s">
        <v>207</v>
      </c>
      <c r="F45" s="69"/>
      <c r="G45" s="69" t="s">
        <v>208</v>
      </c>
      <c r="H45" s="69"/>
    </row>
    <row r="46" spans="1:8" x14ac:dyDescent="0.3">
      <c r="A46" s="59" t="s">
        <v>209</v>
      </c>
      <c r="B46" s="64" t="s">
        <v>210</v>
      </c>
      <c r="C46" s="64"/>
      <c r="D46" s="64"/>
      <c r="E46" s="64" t="s">
        <v>211</v>
      </c>
      <c r="F46" s="64"/>
      <c r="G46" s="64" t="s">
        <v>212</v>
      </c>
      <c r="H46" s="64"/>
    </row>
    <row r="47" spans="1:8" x14ac:dyDescent="0.3">
      <c r="A47" s="60" t="s">
        <v>213</v>
      </c>
      <c r="B47" s="69" t="s">
        <v>214</v>
      </c>
      <c r="C47" s="69"/>
      <c r="D47" s="69"/>
      <c r="E47" s="69" t="s">
        <v>215</v>
      </c>
      <c r="F47" s="69"/>
      <c r="G47" s="69" t="s">
        <v>216</v>
      </c>
      <c r="H47" s="69"/>
    </row>
    <row r="48" spans="1:8" x14ac:dyDescent="0.3">
      <c r="A48" s="59"/>
      <c r="B48" s="59"/>
      <c r="C48" s="59"/>
      <c r="D48" s="59"/>
      <c r="E48" s="59"/>
      <c r="F48" s="59"/>
      <c r="G48" s="59"/>
      <c r="H48" s="59"/>
    </row>
    <row r="49" spans="1:8" ht="15.6" x14ac:dyDescent="0.3">
      <c r="A49" s="61" t="s">
        <v>217</v>
      </c>
      <c r="B49" s="61"/>
      <c r="C49" s="61"/>
      <c r="D49" s="61"/>
      <c r="E49" s="61"/>
      <c r="F49" s="61"/>
      <c r="G49" s="61"/>
      <c r="H49" s="61"/>
    </row>
    <row r="50" spans="1:8" x14ac:dyDescent="0.3">
      <c r="A50" s="65" t="s">
        <v>148</v>
      </c>
      <c r="B50" s="67" t="s">
        <v>218</v>
      </c>
      <c r="C50" s="67"/>
      <c r="D50" s="67"/>
      <c r="E50" s="67" t="s">
        <v>219</v>
      </c>
      <c r="F50" s="67"/>
      <c r="G50" s="67" t="s">
        <v>220</v>
      </c>
      <c r="H50" s="67"/>
    </row>
    <row r="51" spans="1:8" ht="27.6" x14ac:dyDescent="0.3">
      <c r="A51" s="59" t="s">
        <v>221</v>
      </c>
      <c r="B51" s="64" t="s">
        <v>222</v>
      </c>
      <c r="C51" s="64"/>
      <c r="D51" s="64"/>
      <c r="E51" s="64" t="s">
        <v>223</v>
      </c>
      <c r="F51" s="64"/>
      <c r="G51" s="64" t="s">
        <v>224</v>
      </c>
      <c r="H51" s="64"/>
    </row>
    <row r="52" spans="1:8" ht="27.6" x14ac:dyDescent="0.3">
      <c r="A52" s="60" t="s">
        <v>225</v>
      </c>
      <c r="B52" s="69" t="s">
        <v>226</v>
      </c>
      <c r="C52" s="69"/>
      <c r="D52" s="69"/>
      <c r="E52" s="69" t="s">
        <v>227</v>
      </c>
      <c r="F52" s="69"/>
      <c r="G52" s="69" t="s">
        <v>228</v>
      </c>
      <c r="H52" s="69"/>
    </row>
    <row r="53" spans="1:8" ht="27.6" x14ac:dyDescent="0.3">
      <c r="A53" s="59" t="s">
        <v>229</v>
      </c>
      <c r="B53" s="64" t="s">
        <v>230</v>
      </c>
      <c r="C53" s="64"/>
      <c r="D53" s="64"/>
      <c r="E53" s="64" t="s">
        <v>231</v>
      </c>
      <c r="F53" s="64"/>
      <c r="G53" s="64" t="s">
        <v>232</v>
      </c>
      <c r="H53" s="64"/>
    </row>
    <row r="54" spans="1:8" ht="27.6" x14ac:dyDescent="0.3">
      <c r="A54" s="60" t="s">
        <v>233</v>
      </c>
      <c r="B54" s="69" t="s">
        <v>234</v>
      </c>
      <c r="C54" s="69"/>
      <c r="D54" s="69"/>
      <c r="E54" s="69" t="s">
        <v>235</v>
      </c>
      <c r="F54" s="69"/>
      <c r="G54" s="69" t="s">
        <v>236</v>
      </c>
      <c r="H54" s="69"/>
    </row>
    <row r="55" spans="1:8" x14ac:dyDescent="0.3">
      <c r="A55" s="59"/>
      <c r="B55" s="59"/>
      <c r="C55" s="59"/>
      <c r="D55" s="59"/>
      <c r="E55" s="59"/>
      <c r="F55" s="59"/>
      <c r="G55" s="59"/>
      <c r="H55" s="59"/>
    </row>
    <row r="56" spans="1:8" ht="15.6" x14ac:dyDescent="0.3">
      <c r="A56" s="61" t="s">
        <v>237</v>
      </c>
      <c r="B56" s="61"/>
      <c r="C56" s="61"/>
      <c r="D56" s="61"/>
      <c r="E56" s="61"/>
      <c r="F56" s="61"/>
      <c r="G56" s="61"/>
      <c r="H56" s="61"/>
    </row>
    <row r="57" spans="1:8" x14ac:dyDescent="0.3">
      <c r="A57" s="65" t="s">
        <v>238</v>
      </c>
      <c r="B57" s="67" t="s">
        <v>239</v>
      </c>
      <c r="C57" s="67"/>
      <c r="D57" s="67"/>
      <c r="E57" s="66" t="s">
        <v>240</v>
      </c>
      <c r="F57" s="66"/>
      <c r="G57" s="66"/>
      <c r="H57" s="66"/>
    </row>
    <row r="58" spans="1:8" ht="27.6" x14ac:dyDescent="0.3">
      <c r="A58" s="59" t="s">
        <v>241</v>
      </c>
      <c r="B58" s="64" t="s">
        <v>110</v>
      </c>
      <c r="C58" s="64"/>
      <c r="D58" s="64"/>
      <c r="E58" s="63" t="s">
        <v>242</v>
      </c>
      <c r="F58" s="63"/>
      <c r="G58" s="63"/>
      <c r="H58" s="63"/>
    </row>
    <row r="59" spans="1:8" x14ac:dyDescent="0.3">
      <c r="A59" s="60" t="s">
        <v>243</v>
      </c>
      <c r="B59" s="69" t="s">
        <v>244</v>
      </c>
      <c r="C59" s="69"/>
      <c r="D59" s="69"/>
      <c r="E59" s="68" t="s">
        <v>245</v>
      </c>
      <c r="F59" s="68"/>
      <c r="G59" s="68"/>
      <c r="H59" s="68"/>
    </row>
    <row r="60" spans="1:8" ht="27.6" x14ac:dyDescent="0.3">
      <c r="A60" s="59" t="s">
        <v>246</v>
      </c>
      <c r="B60" s="64" t="s">
        <v>247</v>
      </c>
      <c r="C60" s="64"/>
      <c r="D60" s="64"/>
      <c r="E60" s="64" t="s">
        <v>248</v>
      </c>
      <c r="F60" s="64"/>
      <c r="G60" s="64"/>
      <c r="H60" s="64"/>
    </row>
    <row r="61" spans="1:8" ht="27.6" x14ac:dyDescent="0.3">
      <c r="A61" s="60" t="s">
        <v>249</v>
      </c>
      <c r="B61" s="69" t="s">
        <v>118</v>
      </c>
      <c r="C61" s="69"/>
      <c r="D61" s="69"/>
      <c r="E61" s="69" t="s">
        <v>250</v>
      </c>
      <c r="F61" s="69"/>
      <c r="G61" s="69"/>
      <c r="H61" s="69"/>
    </row>
    <row r="62" spans="1:8" ht="27.6" x14ac:dyDescent="0.3">
      <c r="A62" s="59" t="s">
        <v>251</v>
      </c>
      <c r="B62" s="70" t="s">
        <v>252</v>
      </c>
      <c r="C62" s="70"/>
      <c r="D62" s="70"/>
      <c r="E62" s="70" t="s">
        <v>253</v>
      </c>
      <c r="F62" s="70"/>
      <c r="G62" s="70"/>
      <c r="H62" s="70"/>
    </row>
    <row r="63" spans="1:8" ht="28.05" customHeight="1" x14ac:dyDescent="0.3">
      <c r="A63" s="62" t="s">
        <v>254</v>
      </c>
      <c r="B63" s="62"/>
      <c r="C63" s="62"/>
      <c r="D63" s="62"/>
      <c r="E63" s="62"/>
      <c r="F63" s="62"/>
      <c r="G63" s="62"/>
      <c r="H63" s="62"/>
    </row>
  </sheetData>
  <mergeCells count="136">
    <mergeCell ref="B62:D62"/>
    <mergeCell ref="E62:H62"/>
    <mergeCell ref="B59:D59"/>
    <mergeCell ref="E59:H59"/>
    <mergeCell ref="B60:D60"/>
    <mergeCell ref="E60:H60"/>
    <mergeCell ref="B61:D61"/>
    <mergeCell ref="E61:H61"/>
    <mergeCell ref="B54:D54"/>
    <mergeCell ref="E54:F54"/>
    <mergeCell ref="G54:H54"/>
    <mergeCell ref="B57:D57"/>
    <mergeCell ref="E57:H57"/>
    <mergeCell ref="B58:D58"/>
    <mergeCell ref="E58:H58"/>
    <mergeCell ref="B52:D52"/>
    <mergeCell ref="E52:F52"/>
    <mergeCell ref="G52:H52"/>
    <mergeCell ref="B53:D53"/>
    <mergeCell ref="E53:F53"/>
    <mergeCell ref="G53:H53"/>
    <mergeCell ref="B50:D50"/>
    <mergeCell ref="E50:F50"/>
    <mergeCell ref="G50:H50"/>
    <mergeCell ref="B51:D51"/>
    <mergeCell ref="E51:F51"/>
    <mergeCell ref="G51:H51"/>
    <mergeCell ref="B46:D46"/>
    <mergeCell ref="E46:F46"/>
    <mergeCell ref="G46:H46"/>
    <mergeCell ref="B47:D47"/>
    <mergeCell ref="E47:F47"/>
    <mergeCell ref="G47:H47"/>
    <mergeCell ref="B44:D44"/>
    <mergeCell ref="E44:F44"/>
    <mergeCell ref="G44:H44"/>
    <mergeCell ref="B45:D45"/>
    <mergeCell ref="E45:F45"/>
    <mergeCell ref="G45:H45"/>
    <mergeCell ref="B40:D40"/>
    <mergeCell ref="E40:F40"/>
    <mergeCell ref="G40:H40"/>
    <mergeCell ref="B43:D43"/>
    <mergeCell ref="E43:F43"/>
    <mergeCell ref="G43:H43"/>
    <mergeCell ref="B38:D38"/>
    <mergeCell ref="E38:F38"/>
    <mergeCell ref="G38:H38"/>
    <mergeCell ref="B39:D39"/>
    <mergeCell ref="E39:F39"/>
    <mergeCell ref="G39:H39"/>
    <mergeCell ref="B36:D36"/>
    <mergeCell ref="E36:F36"/>
    <mergeCell ref="G36:H36"/>
    <mergeCell ref="B37:D37"/>
    <mergeCell ref="E37:F37"/>
    <mergeCell ref="G37:H37"/>
    <mergeCell ref="B34:D34"/>
    <mergeCell ref="E34:F34"/>
    <mergeCell ref="G34:H34"/>
    <mergeCell ref="B35:D35"/>
    <mergeCell ref="E35:F35"/>
    <mergeCell ref="G35:H35"/>
    <mergeCell ref="B30:D30"/>
    <mergeCell ref="E30:F30"/>
    <mergeCell ref="G30:H30"/>
    <mergeCell ref="B31:D31"/>
    <mergeCell ref="E31:F31"/>
    <mergeCell ref="G31:H31"/>
    <mergeCell ref="B28:D28"/>
    <mergeCell ref="E28:F28"/>
    <mergeCell ref="G28:H28"/>
    <mergeCell ref="B29:D29"/>
    <mergeCell ref="E29:F29"/>
    <mergeCell ref="G29:H29"/>
    <mergeCell ref="B26:D26"/>
    <mergeCell ref="E26:F26"/>
    <mergeCell ref="G26:H26"/>
    <mergeCell ref="B27:D27"/>
    <mergeCell ref="E27:F27"/>
    <mergeCell ref="G27:H27"/>
    <mergeCell ref="B22:D22"/>
    <mergeCell ref="E22:F22"/>
    <mergeCell ref="G22:H22"/>
    <mergeCell ref="B25:D25"/>
    <mergeCell ref="E25:F25"/>
    <mergeCell ref="G25:H25"/>
    <mergeCell ref="B20:D20"/>
    <mergeCell ref="E20:F20"/>
    <mergeCell ref="G20:H20"/>
    <mergeCell ref="B21:D21"/>
    <mergeCell ref="E21:F21"/>
    <mergeCell ref="G21:H21"/>
    <mergeCell ref="B18:D18"/>
    <mergeCell ref="E18:F18"/>
    <mergeCell ref="G18:H18"/>
    <mergeCell ref="B19:D19"/>
    <mergeCell ref="E19:F19"/>
    <mergeCell ref="G19:H19"/>
    <mergeCell ref="G14:H14"/>
    <mergeCell ref="B15:D15"/>
    <mergeCell ref="E15:F15"/>
    <mergeCell ref="G15:H15"/>
    <mergeCell ref="B17:D17"/>
    <mergeCell ref="E17:F17"/>
    <mergeCell ref="G17:H17"/>
    <mergeCell ref="A49:H49"/>
    <mergeCell ref="A56:H56"/>
    <mergeCell ref="A63:H63"/>
    <mergeCell ref="B11:D11"/>
    <mergeCell ref="E11:F11"/>
    <mergeCell ref="G11:H11"/>
    <mergeCell ref="B12:D12"/>
    <mergeCell ref="E12:F12"/>
    <mergeCell ref="G12:H12"/>
    <mergeCell ref="B13:D13"/>
    <mergeCell ref="G6:H7"/>
    <mergeCell ref="A9:H9"/>
    <mergeCell ref="A16:H16"/>
    <mergeCell ref="A24:H24"/>
    <mergeCell ref="A33:H33"/>
    <mergeCell ref="A42:H42"/>
    <mergeCell ref="E13:F13"/>
    <mergeCell ref="G13:H13"/>
    <mergeCell ref="B14:D14"/>
    <mergeCell ref="E14:F14"/>
    <mergeCell ref="A1:H1"/>
    <mergeCell ref="A2:H2"/>
    <mergeCell ref="A4:H4"/>
    <mergeCell ref="A5:B5"/>
    <mergeCell ref="A6:B7"/>
    <mergeCell ref="C5:D5"/>
    <mergeCell ref="C6:D7"/>
    <mergeCell ref="E5:F5"/>
    <mergeCell ref="E6:F7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</vt:lpstr>
      <vt:lpstr>Registro Diario</vt:lpstr>
      <vt:lpstr>Menu Productos</vt:lpstr>
      <vt:lpstr>Metas y Control</vt:lpstr>
      <vt:lpstr>Chart Data</vt:lpstr>
      <vt:lpstr>Guía y 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M</dc:creator>
  <cp:lastModifiedBy>Andres M</cp:lastModifiedBy>
  <dcterms:created xsi:type="dcterms:W3CDTF">2026-09-23T19:58:39Z</dcterms:created>
  <dcterms:modified xsi:type="dcterms:W3CDTF">2026-09-23T21:08:09Z</dcterms:modified>
</cp:coreProperties>
</file>